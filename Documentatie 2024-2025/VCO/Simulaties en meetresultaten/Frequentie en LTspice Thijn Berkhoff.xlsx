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thijn\Documents\school\Windesheim\Project Ingenieursbureau\Synthesizer\definitief\Systeemdossier Breadbord VCO Thijn Berkhoff\"/>
    </mc:Choice>
  </mc:AlternateContent>
  <xr:revisionPtr revIDLastSave="0" documentId="13_ncr:1_{AA827C10-A2FC-4D71-998E-49E708F5D3EE}" xr6:coauthVersionLast="47" xr6:coauthVersionMax="47" xr10:uidLastSave="{00000000-0000-0000-0000-000000000000}"/>
  <bookViews>
    <workbookView xWindow="-108" yWindow="-108" windowWidth="23256" windowHeight="12456" xr2:uid="{BE53311F-E515-49A6-B13A-4A81A7FB0331}"/>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9" i="1" l="1"/>
  <c r="F79" i="1"/>
</calcChain>
</file>

<file path=xl/sharedStrings.xml><?xml version="1.0" encoding="utf-8"?>
<sst xmlns="http://schemas.openxmlformats.org/spreadsheetml/2006/main" count="49" uniqueCount="34">
  <si>
    <t>Weerstand</t>
  </si>
  <si>
    <t>Freq</t>
  </si>
  <si>
    <t>10K</t>
  </si>
  <si>
    <t>20K</t>
  </si>
  <si>
    <t>30K</t>
  </si>
  <si>
    <t>40K</t>
  </si>
  <si>
    <t>50K</t>
  </si>
  <si>
    <t>60K</t>
  </si>
  <si>
    <t>Ltspice</t>
  </si>
  <si>
    <t>Realiteit</t>
  </si>
  <si>
    <t>47K</t>
  </si>
  <si>
    <t>57K</t>
  </si>
  <si>
    <t>Nu met een BC547B NPN BJT die zich gedraagt als een currentsink, ik heb geobserveerd naarmate de spanning op de base vd BJT hoger wordt, des te hoger de frequentie.</t>
  </si>
  <si>
    <t>Vbe</t>
  </si>
  <si>
    <t xml:space="preserve">Een 10K weerstand in de integrator laat de 100nF condensator op </t>
  </si>
  <si>
    <t>Nu in plaats van een sink BJT heb ik een PNP na de weerstand gezet, de base van de PNP gaat weer de collector van een NPN in, emitter van NPN is verbonden met de grond.</t>
  </si>
  <si>
    <t>Hier wordt duidelijk dat de frequentie exponienteel reageert vanaf een spanning op de base van ongeveer 350  - 400mv</t>
  </si>
  <si>
    <t>BC557B</t>
  </si>
  <si>
    <t xml:space="preserve">BC547B </t>
  </si>
  <si>
    <t>BC547B</t>
  </si>
  <si>
    <t>hFE</t>
  </si>
  <si>
    <t>gemiddelde</t>
  </si>
  <si>
    <t xml:space="preserve">Ik heb met een zaagtand een analyse gedaan om de uitgangsfrequentie te bekijken op basis van de ingangspanning </t>
  </si>
  <si>
    <t>Freq (Hz)</t>
  </si>
  <si>
    <t>Uin (mV)</t>
  </si>
  <si>
    <t>de volt p octaaf consistentie is zeer smal in deze opstelling.</t>
  </si>
  <si>
    <t>Nu gebruik ik dezelfde transistors. Maar ipv dat de emitter van de NPN BC547 direct naar 0 gaat, gaat hij door een 10K weerstand</t>
  </si>
  <si>
    <t>Nu met 10 ohm weerstand achter de emitter.</t>
  </si>
  <si>
    <t>Nu met 100K serie</t>
  </si>
  <si>
    <t>Freq = 2*10^-5 e^0,037Vbe</t>
  </si>
  <si>
    <t>Freq = 1*10^-5 e ^0,0365Vbe</t>
  </si>
  <si>
    <t>Freq = 8*10^-4 e^0,0276Vbe</t>
  </si>
  <si>
    <t>In dit bestand wordt onderzocht naar het gedrag van de VCO ten opzichte van verschillende BJT en weerstand combinaties.</t>
  </si>
  <si>
    <t>In deze twee grafieken is de frequentie ten opzichte van de weerstand in de integrator te zien.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</si>
</sst>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Freq - weerstand</a:t>
            </a:r>
          </a:p>
          <a:p>
            <a:pPr>
              <a:defRPr/>
            </a:pPr>
            <a:r>
              <a:rPr lang="en-US"/>
              <a:t>LTSPICE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nl-NL"/>
        </a:p>
      </c:txPr>
    </c:title>
    <c:autoTitleDeleted val="0"/>
    <c:plotArea>
      <c:layout/>
      <c:lineChart>
        <c:grouping val="standard"/>
        <c:varyColors val="0"/>
        <c:ser>
          <c:idx val="0"/>
          <c:order val="0"/>
          <c:tx>
            <c:strRef>
              <c:f>Blad1!$G$3</c:f>
              <c:strCache>
                <c:ptCount val="1"/>
                <c:pt idx="0">
                  <c:v>Freq</c:v>
                </c:pt>
              </c:strCache>
            </c:strRef>
          </c:tx>
          <c:spPr>
            <a:ln w="38100" cap="flat" cmpd="dbl" algn="ctr">
              <a:solidFill>
                <a:schemeClr val="accent1"/>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2700" cap="rnd">
                <a:noFill/>
              </a:ln>
              <a:effectLst/>
            </c:spPr>
            <c:trendlineType val="power"/>
            <c:dispRSqr val="0"/>
            <c:dispEq val="0"/>
          </c:trendline>
          <c:trendline>
            <c:spPr>
              <a:ln w="12700" cap="rnd">
                <a:noFill/>
              </a:ln>
              <a:effectLst/>
            </c:spPr>
            <c:trendlineType val="linear"/>
            <c:dispRSqr val="0"/>
            <c:dispEq val="0"/>
          </c:trendline>
          <c:trendline>
            <c:spPr>
              <a:ln w="12700" cap="rnd">
                <a:noFill/>
              </a:ln>
              <a:effectLst/>
            </c:spPr>
            <c:trendlineType val="power"/>
            <c:forward val="1"/>
            <c:dispRSqr val="0"/>
            <c:dispEq val="1"/>
            <c:trendlineLbl>
              <c:layout>
                <c:manualLayout>
                  <c:x val="-0.5150890201224847"/>
                  <c:y val="3.06299212598425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cat>
            <c:strRef>
              <c:f>Blad1!$F$4:$F$9</c:f>
              <c:strCache>
                <c:ptCount val="6"/>
                <c:pt idx="0">
                  <c:v>10K</c:v>
                </c:pt>
                <c:pt idx="1">
                  <c:v>20K</c:v>
                </c:pt>
                <c:pt idx="2">
                  <c:v>30K</c:v>
                </c:pt>
                <c:pt idx="3">
                  <c:v>40K</c:v>
                </c:pt>
                <c:pt idx="4">
                  <c:v>50K</c:v>
                </c:pt>
                <c:pt idx="5">
                  <c:v>60K</c:v>
                </c:pt>
              </c:strCache>
            </c:strRef>
          </c:cat>
          <c:val>
            <c:numRef>
              <c:f>Blad1!$G$4:$G$9</c:f>
              <c:numCache>
                <c:formatCode>General</c:formatCode>
                <c:ptCount val="6"/>
                <c:pt idx="0">
                  <c:v>1400</c:v>
                </c:pt>
                <c:pt idx="1">
                  <c:v>700</c:v>
                </c:pt>
                <c:pt idx="2">
                  <c:v>500</c:v>
                </c:pt>
                <c:pt idx="3">
                  <c:v>400</c:v>
                </c:pt>
                <c:pt idx="4">
                  <c:v>300</c:v>
                </c:pt>
                <c:pt idx="5">
                  <c:v>266</c:v>
                </c:pt>
              </c:numCache>
            </c:numRef>
          </c:val>
          <c:smooth val="0"/>
          <c:extLst>
            <c:ext xmlns:c16="http://schemas.microsoft.com/office/drawing/2014/chart" uri="{C3380CC4-5D6E-409C-BE32-E72D297353CC}">
              <c16:uniqueId val="{00000000-D375-465F-AD32-F82AAD695982}"/>
            </c:ext>
          </c:extLst>
        </c:ser>
        <c:dLbls>
          <c:showLegendKey val="0"/>
          <c:showVal val="0"/>
          <c:showCatName val="0"/>
          <c:showSerName val="0"/>
          <c:showPercent val="0"/>
          <c:showBubbleSize val="0"/>
        </c:dLbls>
        <c:smooth val="0"/>
        <c:axId val="1479500143"/>
        <c:axId val="1479507823"/>
      </c:lineChart>
      <c:catAx>
        <c:axId val="147950014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9507823"/>
        <c:crosses val="autoZero"/>
        <c:auto val="1"/>
        <c:lblAlgn val="ctr"/>
        <c:lblOffset val="100"/>
        <c:noMultiLvlLbl val="0"/>
      </c:catAx>
      <c:valAx>
        <c:axId val="1479507823"/>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479500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Freq - wEERSTAND</a:t>
            </a:r>
          </a:p>
          <a:p>
            <a:pPr>
              <a:defRPr/>
            </a:pPr>
            <a:r>
              <a:rPr lang="en-US"/>
              <a:t>rEËL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nl-NL"/>
        </a:p>
      </c:txPr>
    </c:title>
    <c:autoTitleDeleted val="0"/>
    <c:plotArea>
      <c:layout/>
      <c:lineChart>
        <c:grouping val="standard"/>
        <c:varyColors val="0"/>
        <c:ser>
          <c:idx val="0"/>
          <c:order val="0"/>
          <c:tx>
            <c:strRef>
              <c:f>Blad1!$G$19</c:f>
              <c:strCache>
                <c:ptCount val="1"/>
                <c:pt idx="0">
                  <c:v>Freq</c:v>
                </c:pt>
              </c:strCache>
            </c:strRef>
          </c:tx>
          <c:spPr>
            <a:ln w="38100" cap="flat" cmpd="dbl" algn="ctr">
              <a:solidFill>
                <a:schemeClr val="accent1"/>
              </a:solidFill>
              <a:miter lim="800000"/>
            </a:ln>
            <a:effectLst/>
          </c:spPr>
          <c:marker>
            <c:symbol val="none"/>
          </c:marker>
          <c:trendline>
            <c:spPr>
              <a:ln w="12700" cap="rnd">
                <a:noFill/>
              </a:ln>
              <a:effectLst/>
            </c:spPr>
            <c:trendlineType val="power"/>
            <c:dispRSqr val="0"/>
            <c:dispEq val="1"/>
            <c:trendlineLbl>
              <c:layout>
                <c:manualLayout>
                  <c:x val="-0.60401356080489943"/>
                  <c:y val="6.231481481481481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cat>
            <c:strRef>
              <c:f>Blad1!$F$20:$F$24</c:f>
              <c:strCache>
                <c:ptCount val="5"/>
                <c:pt idx="0">
                  <c:v>10K</c:v>
                </c:pt>
                <c:pt idx="1">
                  <c:v>20K</c:v>
                </c:pt>
                <c:pt idx="2">
                  <c:v>30K</c:v>
                </c:pt>
                <c:pt idx="3">
                  <c:v>47K</c:v>
                </c:pt>
                <c:pt idx="4">
                  <c:v>57K</c:v>
                </c:pt>
              </c:strCache>
            </c:strRef>
          </c:cat>
          <c:val>
            <c:numRef>
              <c:f>Blad1!$G$20:$G$24</c:f>
              <c:numCache>
                <c:formatCode>General</c:formatCode>
                <c:ptCount val="5"/>
                <c:pt idx="0">
                  <c:v>1650</c:v>
                </c:pt>
                <c:pt idx="1">
                  <c:v>890</c:v>
                </c:pt>
                <c:pt idx="2">
                  <c:v>584</c:v>
                </c:pt>
                <c:pt idx="3">
                  <c:v>374</c:v>
                </c:pt>
                <c:pt idx="4">
                  <c:v>309</c:v>
                </c:pt>
              </c:numCache>
            </c:numRef>
          </c:val>
          <c:smooth val="0"/>
          <c:extLst>
            <c:ext xmlns:c16="http://schemas.microsoft.com/office/drawing/2014/chart" uri="{C3380CC4-5D6E-409C-BE32-E72D297353CC}">
              <c16:uniqueId val="{00000000-EBB5-49B2-8886-DDE2599A1FA9}"/>
            </c:ext>
          </c:extLst>
        </c:ser>
        <c:dLbls>
          <c:showLegendKey val="0"/>
          <c:showVal val="0"/>
          <c:showCatName val="0"/>
          <c:showSerName val="0"/>
          <c:showPercent val="0"/>
          <c:showBubbleSize val="0"/>
        </c:dLbls>
        <c:smooth val="0"/>
        <c:axId val="1756573535"/>
        <c:axId val="1756572095"/>
      </c:lineChart>
      <c:catAx>
        <c:axId val="1756573535"/>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756572095"/>
        <c:crosses val="autoZero"/>
        <c:auto val="1"/>
        <c:lblAlgn val="ctr"/>
        <c:lblOffset val="100"/>
        <c:noMultiLvlLbl val="0"/>
      </c:catAx>
      <c:valAx>
        <c:axId val="1756572095"/>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75657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Freq tov</a:t>
            </a:r>
            <a:r>
              <a:rPr lang="nl-NL" baseline="0"/>
              <a:t> Vbe</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Blad1!$G$38</c:f>
              <c:strCache>
                <c:ptCount val="1"/>
                <c:pt idx="0">
                  <c:v>Freq</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Blad1!$F$39:$F$49</c:f>
              <c:numCache>
                <c:formatCode>General</c:formatCode>
                <c:ptCount val="11"/>
                <c:pt idx="0">
                  <c:v>0.6</c:v>
                </c:pt>
                <c:pt idx="1">
                  <c:v>0.61</c:v>
                </c:pt>
                <c:pt idx="2">
                  <c:v>0.62</c:v>
                </c:pt>
                <c:pt idx="3">
                  <c:v>0.63</c:v>
                </c:pt>
                <c:pt idx="4">
                  <c:v>0.64</c:v>
                </c:pt>
                <c:pt idx="5">
                  <c:v>0.65</c:v>
                </c:pt>
                <c:pt idx="6">
                  <c:v>0.66</c:v>
                </c:pt>
                <c:pt idx="7">
                  <c:v>0.67</c:v>
                </c:pt>
                <c:pt idx="8">
                  <c:v>0.68</c:v>
                </c:pt>
                <c:pt idx="9">
                  <c:v>0.69</c:v>
                </c:pt>
                <c:pt idx="10">
                  <c:v>0.7</c:v>
                </c:pt>
              </c:numCache>
            </c:numRef>
          </c:xVal>
          <c:yVal>
            <c:numRef>
              <c:f>Blad1!$G$39:$G$49</c:f>
              <c:numCache>
                <c:formatCode>General</c:formatCode>
                <c:ptCount val="11"/>
                <c:pt idx="0">
                  <c:v>1486</c:v>
                </c:pt>
                <c:pt idx="1">
                  <c:v>1488</c:v>
                </c:pt>
                <c:pt idx="2">
                  <c:v>1512</c:v>
                </c:pt>
                <c:pt idx="3">
                  <c:v>1553</c:v>
                </c:pt>
                <c:pt idx="4">
                  <c:v>1607</c:v>
                </c:pt>
                <c:pt idx="5">
                  <c:v>1677</c:v>
                </c:pt>
                <c:pt idx="6">
                  <c:v>1761</c:v>
                </c:pt>
                <c:pt idx="7">
                  <c:v>1869</c:v>
                </c:pt>
                <c:pt idx="8">
                  <c:v>1961</c:v>
                </c:pt>
                <c:pt idx="9">
                  <c:v>2099</c:v>
                </c:pt>
                <c:pt idx="10">
                  <c:v>2211</c:v>
                </c:pt>
              </c:numCache>
            </c:numRef>
          </c:yVal>
          <c:smooth val="0"/>
          <c:extLst>
            <c:ext xmlns:c16="http://schemas.microsoft.com/office/drawing/2014/chart" uri="{C3380CC4-5D6E-409C-BE32-E72D297353CC}">
              <c16:uniqueId val="{00000000-2B8F-4895-949C-54405ADD5492}"/>
            </c:ext>
          </c:extLst>
        </c:ser>
        <c:dLbls>
          <c:showLegendKey val="0"/>
          <c:showVal val="0"/>
          <c:showCatName val="0"/>
          <c:showSerName val="0"/>
          <c:showPercent val="0"/>
          <c:showBubbleSize val="0"/>
        </c:dLbls>
        <c:axId val="328376656"/>
        <c:axId val="328384816"/>
      </c:scatterChart>
      <c:valAx>
        <c:axId val="328376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328384816"/>
        <c:crosses val="autoZero"/>
        <c:crossBetween val="midCat"/>
      </c:valAx>
      <c:valAx>
        <c:axId val="32838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3283766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Frequentie op basis van Vbe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Blad1!$G$54</c:f>
              <c:strCache>
                <c:ptCount val="1"/>
                <c:pt idx="0">
                  <c:v>Freq</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log"/>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xVal>
            <c:numRef>
              <c:f>Blad1!$F$55:$F$67</c:f>
              <c:numCache>
                <c:formatCode>General</c:formatCode>
                <c:ptCount val="13"/>
                <c:pt idx="0">
                  <c:v>0</c:v>
                </c:pt>
                <c:pt idx="1">
                  <c:v>50</c:v>
                </c:pt>
                <c:pt idx="2">
                  <c:v>100</c:v>
                </c:pt>
                <c:pt idx="3">
                  <c:v>150</c:v>
                </c:pt>
                <c:pt idx="4">
                  <c:v>200</c:v>
                </c:pt>
                <c:pt idx="5">
                  <c:v>250</c:v>
                </c:pt>
                <c:pt idx="6">
                  <c:v>300</c:v>
                </c:pt>
                <c:pt idx="7">
                  <c:v>350</c:v>
                </c:pt>
                <c:pt idx="8">
                  <c:v>400</c:v>
                </c:pt>
                <c:pt idx="9">
                  <c:v>450</c:v>
                </c:pt>
                <c:pt idx="10">
                  <c:v>500</c:v>
                </c:pt>
                <c:pt idx="11">
                  <c:v>550</c:v>
                </c:pt>
                <c:pt idx="12">
                  <c:v>600</c:v>
                </c:pt>
              </c:numCache>
            </c:numRef>
          </c:xVal>
          <c:yVal>
            <c:numRef>
              <c:f>Blad1!$G$55:$G$67</c:f>
              <c:numCache>
                <c:formatCode>General</c:formatCode>
                <c:ptCount val="13"/>
                <c:pt idx="0">
                  <c:v>0</c:v>
                </c:pt>
                <c:pt idx="1">
                  <c:v>0.01</c:v>
                </c:pt>
                <c:pt idx="2">
                  <c:v>0.02</c:v>
                </c:pt>
                <c:pt idx="3">
                  <c:v>0.1</c:v>
                </c:pt>
                <c:pt idx="4">
                  <c:v>1</c:v>
                </c:pt>
                <c:pt idx="5">
                  <c:v>1</c:v>
                </c:pt>
                <c:pt idx="6">
                  <c:v>2</c:v>
                </c:pt>
                <c:pt idx="7">
                  <c:v>4</c:v>
                </c:pt>
                <c:pt idx="8">
                  <c:v>8</c:v>
                </c:pt>
                <c:pt idx="9">
                  <c:v>28</c:v>
                </c:pt>
                <c:pt idx="10">
                  <c:v>166</c:v>
                </c:pt>
                <c:pt idx="11">
                  <c:v>642</c:v>
                </c:pt>
                <c:pt idx="12">
                  <c:v>1288</c:v>
                </c:pt>
              </c:numCache>
            </c:numRef>
          </c:yVal>
          <c:smooth val="0"/>
          <c:extLst>
            <c:ext xmlns:c16="http://schemas.microsoft.com/office/drawing/2014/chart" uri="{C3380CC4-5D6E-409C-BE32-E72D297353CC}">
              <c16:uniqueId val="{00000000-0BE1-49DC-ACEB-DDB556161DFD}"/>
            </c:ext>
          </c:extLst>
        </c:ser>
        <c:dLbls>
          <c:showLegendKey val="0"/>
          <c:showVal val="0"/>
          <c:showCatName val="0"/>
          <c:showSerName val="0"/>
          <c:showPercent val="0"/>
          <c:showBubbleSize val="0"/>
        </c:dLbls>
        <c:axId val="522742400"/>
        <c:axId val="522732800"/>
      </c:scatterChart>
      <c:valAx>
        <c:axId val="52274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22732800"/>
        <c:crosses val="autoZero"/>
        <c:crossBetween val="midCat"/>
      </c:valAx>
      <c:valAx>
        <c:axId val="52273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5227424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Freq (Hz) vs Vbe</a:t>
            </a:r>
            <a:r>
              <a:rPr lang="nl-NL" baseline="0"/>
              <a:t> (mV)</a:t>
            </a:r>
          </a:p>
          <a:p>
            <a:pPr>
              <a:defRPr/>
            </a:pPr>
            <a:r>
              <a:rPr lang="nl-NL" baseline="0"/>
              <a:t>Geen weerstand</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Blad1!$G$82</c:f>
              <c:strCache>
                <c:ptCount val="1"/>
                <c:pt idx="0">
                  <c:v>Freq (Hz)</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xVal>
            <c:numRef>
              <c:f>Blad1!$F$83:$F$109</c:f>
              <c:numCache>
                <c:formatCode>General</c:formatCode>
                <c:ptCount val="27"/>
                <c:pt idx="0">
                  <c:v>367</c:v>
                </c:pt>
                <c:pt idx="1">
                  <c:v>374</c:v>
                </c:pt>
                <c:pt idx="2">
                  <c:v>382</c:v>
                </c:pt>
                <c:pt idx="3">
                  <c:v>389</c:v>
                </c:pt>
                <c:pt idx="4">
                  <c:v>395</c:v>
                </c:pt>
                <c:pt idx="5">
                  <c:v>400</c:v>
                </c:pt>
                <c:pt idx="6">
                  <c:v>407</c:v>
                </c:pt>
                <c:pt idx="7">
                  <c:v>414</c:v>
                </c:pt>
                <c:pt idx="8">
                  <c:v>420</c:v>
                </c:pt>
                <c:pt idx="9">
                  <c:v>424</c:v>
                </c:pt>
                <c:pt idx="10">
                  <c:v>430</c:v>
                </c:pt>
                <c:pt idx="11">
                  <c:v>435</c:v>
                </c:pt>
                <c:pt idx="12">
                  <c:v>440</c:v>
                </c:pt>
                <c:pt idx="13">
                  <c:v>446</c:v>
                </c:pt>
                <c:pt idx="14">
                  <c:v>451</c:v>
                </c:pt>
                <c:pt idx="15">
                  <c:v>454</c:v>
                </c:pt>
                <c:pt idx="16">
                  <c:v>462</c:v>
                </c:pt>
                <c:pt idx="17">
                  <c:v>470</c:v>
                </c:pt>
                <c:pt idx="18">
                  <c:v>471</c:v>
                </c:pt>
                <c:pt idx="19">
                  <c:v>475</c:v>
                </c:pt>
                <c:pt idx="20">
                  <c:v>477</c:v>
                </c:pt>
                <c:pt idx="21">
                  <c:v>479</c:v>
                </c:pt>
                <c:pt idx="22">
                  <c:v>485</c:v>
                </c:pt>
                <c:pt idx="23">
                  <c:v>486</c:v>
                </c:pt>
                <c:pt idx="24">
                  <c:v>489</c:v>
                </c:pt>
                <c:pt idx="25">
                  <c:v>493</c:v>
                </c:pt>
                <c:pt idx="26">
                  <c:v>495</c:v>
                </c:pt>
              </c:numCache>
            </c:numRef>
          </c:xVal>
          <c:yVal>
            <c:numRef>
              <c:f>Blad1!$G$83:$G$109</c:f>
              <c:numCache>
                <c:formatCode>General</c:formatCode>
                <c:ptCount val="27"/>
                <c:pt idx="0">
                  <c:v>16</c:v>
                </c:pt>
                <c:pt idx="1">
                  <c:v>20</c:v>
                </c:pt>
                <c:pt idx="2">
                  <c:v>26</c:v>
                </c:pt>
                <c:pt idx="3">
                  <c:v>32</c:v>
                </c:pt>
                <c:pt idx="4">
                  <c:v>40</c:v>
                </c:pt>
                <c:pt idx="5">
                  <c:v>50</c:v>
                </c:pt>
                <c:pt idx="6">
                  <c:v>75</c:v>
                </c:pt>
                <c:pt idx="7">
                  <c:v>93</c:v>
                </c:pt>
                <c:pt idx="8">
                  <c:v>114</c:v>
                </c:pt>
                <c:pt idx="9">
                  <c:v>140</c:v>
                </c:pt>
                <c:pt idx="10">
                  <c:v>174</c:v>
                </c:pt>
                <c:pt idx="11">
                  <c:v>211</c:v>
                </c:pt>
                <c:pt idx="12">
                  <c:v>260</c:v>
                </c:pt>
                <c:pt idx="13">
                  <c:v>340</c:v>
                </c:pt>
                <c:pt idx="14">
                  <c:v>388</c:v>
                </c:pt>
                <c:pt idx="15">
                  <c:v>435</c:v>
                </c:pt>
                <c:pt idx="16">
                  <c:v>609</c:v>
                </c:pt>
                <c:pt idx="17">
                  <c:v>709</c:v>
                </c:pt>
                <c:pt idx="18">
                  <c:v>801</c:v>
                </c:pt>
                <c:pt idx="19">
                  <c:v>891</c:v>
                </c:pt>
                <c:pt idx="20">
                  <c:v>950</c:v>
                </c:pt>
                <c:pt idx="21">
                  <c:v>1050</c:v>
                </c:pt>
                <c:pt idx="22">
                  <c:v>1150</c:v>
                </c:pt>
                <c:pt idx="23">
                  <c:v>1240</c:v>
                </c:pt>
                <c:pt idx="24">
                  <c:v>1360</c:v>
                </c:pt>
                <c:pt idx="25">
                  <c:v>1450</c:v>
                </c:pt>
                <c:pt idx="26">
                  <c:v>1520</c:v>
                </c:pt>
              </c:numCache>
            </c:numRef>
          </c:yVal>
          <c:smooth val="0"/>
          <c:extLst>
            <c:ext xmlns:c16="http://schemas.microsoft.com/office/drawing/2014/chart" uri="{C3380CC4-5D6E-409C-BE32-E72D297353CC}">
              <c16:uniqueId val="{00000000-AE44-480F-B1BF-AC66B2C2FA84}"/>
            </c:ext>
          </c:extLst>
        </c:ser>
        <c:dLbls>
          <c:showLegendKey val="0"/>
          <c:showVal val="0"/>
          <c:showCatName val="0"/>
          <c:showSerName val="0"/>
          <c:showPercent val="0"/>
          <c:showBubbleSize val="0"/>
        </c:dLbls>
        <c:axId val="792495344"/>
        <c:axId val="792496304"/>
      </c:scatterChart>
      <c:valAx>
        <c:axId val="79249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92496304"/>
        <c:crosses val="autoZero"/>
        <c:crossBetween val="midCat"/>
      </c:valAx>
      <c:valAx>
        <c:axId val="79249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924953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Freq vs Vbe (mv)</a:t>
            </a:r>
          </a:p>
          <a:p>
            <a:pPr>
              <a:defRPr/>
            </a:pPr>
            <a:r>
              <a:rPr lang="nl-NL"/>
              <a:t>10K serie emitter NPN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Blad1!$G$114</c:f>
              <c:strCache>
                <c:ptCount val="1"/>
                <c:pt idx="0">
                  <c:v>Freq</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1"/>
            <c:trendlineLbl>
              <c:layout>
                <c:manualLayout>
                  <c:x val="-4.4790250364814453E-2"/>
                  <c:y val="7.432354634427172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xVal>
            <c:numRef>
              <c:f>Blad1!$F$115:$F$120</c:f>
              <c:numCache>
                <c:formatCode>General</c:formatCode>
                <c:ptCount val="6"/>
                <c:pt idx="0">
                  <c:v>256</c:v>
                </c:pt>
                <c:pt idx="1">
                  <c:v>312</c:v>
                </c:pt>
                <c:pt idx="2">
                  <c:v>368</c:v>
                </c:pt>
                <c:pt idx="3">
                  <c:v>424</c:v>
                </c:pt>
                <c:pt idx="4">
                  <c:v>480</c:v>
                </c:pt>
                <c:pt idx="5">
                  <c:v>528</c:v>
                </c:pt>
              </c:numCache>
            </c:numRef>
          </c:xVal>
          <c:yVal>
            <c:numRef>
              <c:f>Blad1!$G$115:$G$120</c:f>
              <c:numCache>
                <c:formatCode>General</c:formatCode>
                <c:ptCount val="6"/>
                <c:pt idx="0">
                  <c:v>1</c:v>
                </c:pt>
                <c:pt idx="1">
                  <c:v>5</c:v>
                </c:pt>
                <c:pt idx="2">
                  <c:v>12</c:v>
                </c:pt>
                <c:pt idx="3">
                  <c:v>98</c:v>
                </c:pt>
                <c:pt idx="4">
                  <c:v>578</c:v>
                </c:pt>
                <c:pt idx="5">
                  <c:v>1490</c:v>
                </c:pt>
              </c:numCache>
            </c:numRef>
          </c:yVal>
          <c:smooth val="0"/>
          <c:extLst>
            <c:ext xmlns:c16="http://schemas.microsoft.com/office/drawing/2014/chart" uri="{C3380CC4-5D6E-409C-BE32-E72D297353CC}">
              <c16:uniqueId val="{00000000-CFDF-4C55-93BC-53EB8F29463B}"/>
            </c:ext>
          </c:extLst>
        </c:ser>
        <c:dLbls>
          <c:showLegendKey val="0"/>
          <c:showVal val="0"/>
          <c:showCatName val="0"/>
          <c:showSerName val="0"/>
          <c:showPercent val="0"/>
          <c:showBubbleSize val="0"/>
        </c:dLbls>
        <c:axId val="1090446304"/>
        <c:axId val="1090445824"/>
      </c:scatterChart>
      <c:valAx>
        <c:axId val="1090446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90445824"/>
        <c:crosses val="autoZero"/>
        <c:crossBetween val="midCat"/>
      </c:valAx>
      <c:valAx>
        <c:axId val="109044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904463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 vs Vbe (mV)</a:t>
            </a:r>
          </a:p>
          <a:p>
            <a:pPr>
              <a:defRPr/>
            </a:pPr>
            <a:r>
              <a:rPr lang="en-US"/>
              <a:t>10 serie emitter NPN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Blad1!$G$127</c:f>
              <c:strCache>
                <c:ptCount val="1"/>
                <c:pt idx="0">
                  <c:v>Freq</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1"/>
            <c:trendlineLbl>
              <c:layout>
                <c:manualLayout>
                  <c:x val="8.0993572986475276E-2"/>
                  <c:y val="-6.732384569032107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xVal>
            <c:numRef>
              <c:f>Blad1!$F$128:$F$138</c:f>
              <c:numCache>
                <c:formatCode>General</c:formatCode>
                <c:ptCount val="11"/>
                <c:pt idx="0">
                  <c:v>280</c:v>
                </c:pt>
                <c:pt idx="1">
                  <c:v>320</c:v>
                </c:pt>
                <c:pt idx="2">
                  <c:v>344</c:v>
                </c:pt>
                <c:pt idx="3">
                  <c:v>368</c:v>
                </c:pt>
                <c:pt idx="4">
                  <c:v>392</c:v>
                </c:pt>
                <c:pt idx="5">
                  <c:v>408</c:v>
                </c:pt>
                <c:pt idx="6">
                  <c:v>432</c:v>
                </c:pt>
                <c:pt idx="7">
                  <c:v>456</c:v>
                </c:pt>
                <c:pt idx="8">
                  <c:v>470</c:v>
                </c:pt>
                <c:pt idx="9">
                  <c:v>496</c:v>
                </c:pt>
                <c:pt idx="10">
                  <c:v>512</c:v>
                </c:pt>
              </c:numCache>
            </c:numRef>
          </c:xVal>
          <c:yVal>
            <c:numRef>
              <c:f>Blad1!$G$128:$G$138</c:f>
              <c:numCache>
                <c:formatCode>General</c:formatCode>
                <c:ptCount val="11"/>
                <c:pt idx="0">
                  <c:v>1</c:v>
                </c:pt>
                <c:pt idx="1">
                  <c:v>1</c:v>
                </c:pt>
                <c:pt idx="2">
                  <c:v>2</c:v>
                </c:pt>
                <c:pt idx="3">
                  <c:v>10</c:v>
                </c:pt>
                <c:pt idx="4">
                  <c:v>20</c:v>
                </c:pt>
                <c:pt idx="5">
                  <c:v>46</c:v>
                </c:pt>
                <c:pt idx="6">
                  <c:v>127</c:v>
                </c:pt>
                <c:pt idx="7">
                  <c:v>280</c:v>
                </c:pt>
                <c:pt idx="8">
                  <c:v>592</c:v>
                </c:pt>
                <c:pt idx="9">
                  <c:v>1190</c:v>
                </c:pt>
                <c:pt idx="10">
                  <c:v>1504</c:v>
                </c:pt>
              </c:numCache>
            </c:numRef>
          </c:yVal>
          <c:smooth val="0"/>
          <c:extLst>
            <c:ext xmlns:c16="http://schemas.microsoft.com/office/drawing/2014/chart" uri="{C3380CC4-5D6E-409C-BE32-E72D297353CC}">
              <c16:uniqueId val="{00000000-BBA9-4931-AA9A-31D7BA3DF3A1}"/>
            </c:ext>
          </c:extLst>
        </c:ser>
        <c:dLbls>
          <c:showLegendKey val="0"/>
          <c:showVal val="0"/>
          <c:showCatName val="0"/>
          <c:showSerName val="0"/>
          <c:showPercent val="0"/>
          <c:showBubbleSize val="0"/>
        </c:dLbls>
        <c:axId val="1090462144"/>
        <c:axId val="1090471744"/>
      </c:scatterChart>
      <c:valAx>
        <c:axId val="109046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90471744"/>
        <c:crosses val="autoZero"/>
        <c:crossBetween val="midCat"/>
      </c:valAx>
      <c:valAx>
        <c:axId val="109047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904621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Freq (Hz) vs Vbe</a:t>
            </a:r>
            <a:r>
              <a:rPr lang="nl-NL" baseline="0"/>
              <a:t> (mV)</a:t>
            </a:r>
          </a:p>
          <a:p>
            <a:pPr>
              <a:defRPr/>
            </a:pPr>
            <a:r>
              <a:rPr lang="nl-NL" baseline="0"/>
              <a:t>Geen weerstand</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Blad1!$G$82</c:f>
              <c:strCache>
                <c:ptCount val="1"/>
                <c:pt idx="0">
                  <c:v>Freq (Hz)</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xVal>
            <c:numRef>
              <c:f>Blad1!$F$83:$F$109</c:f>
              <c:numCache>
                <c:formatCode>General</c:formatCode>
                <c:ptCount val="27"/>
                <c:pt idx="0">
                  <c:v>367</c:v>
                </c:pt>
                <c:pt idx="1">
                  <c:v>374</c:v>
                </c:pt>
                <c:pt idx="2">
                  <c:v>382</c:v>
                </c:pt>
                <c:pt idx="3">
                  <c:v>389</c:v>
                </c:pt>
                <c:pt idx="4">
                  <c:v>395</c:v>
                </c:pt>
                <c:pt idx="5">
                  <c:v>400</c:v>
                </c:pt>
                <c:pt idx="6">
                  <c:v>407</c:v>
                </c:pt>
                <c:pt idx="7">
                  <c:v>414</c:v>
                </c:pt>
                <c:pt idx="8">
                  <c:v>420</c:v>
                </c:pt>
                <c:pt idx="9">
                  <c:v>424</c:v>
                </c:pt>
                <c:pt idx="10">
                  <c:v>430</c:v>
                </c:pt>
                <c:pt idx="11">
                  <c:v>435</c:v>
                </c:pt>
                <c:pt idx="12">
                  <c:v>440</c:v>
                </c:pt>
                <c:pt idx="13">
                  <c:v>446</c:v>
                </c:pt>
                <c:pt idx="14">
                  <c:v>451</c:v>
                </c:pt>
                <c:pt idx="15">
                  <c:v>454</c:v>
                </c:pt>
                <c:pt idx="16">
                  <c:v>462</c:v>
                </c:pt>
                <c:pt idx="17">
                  <c:v>470</c:v>
                </c:pt>
                <c:pt idx="18">
                  <c:v>471</c:v>
                </c:pt>
                <c:pt idx="19">
                  <c:v>475</c:v>
                </c:pt>
                <c:pt idx="20">
                  <c:v>477</c:v>
                </c:pt>
                <c:pt idx="21">
                  <c:v>479</c:v>
                </c:pt>
                <c:pt idx="22">
                  <c:v>485</c:v>
                </c:pt>
                <c:pt idx="23">
                  <c:v>486</c:v>
                </c:pt>
                <c:pt idx="24">
                  <c:v>489</c:v>
                </c:pt>
                <c:pt idx="25">
                  <c:v>493</c:v>
                </c:pt>
                <c:pt idx="26">
                  <c:v>495</c:v>
                </c:pt>
              </c:numCache>
            </c:numRef>
          </c:xVal>
          <c:yVal>
            <c:numRef>
              <c:f>Blad1!$G$83:$G$109</c:f>
              <c:numCache>
                <c:formatCode>General</c:formatCode>
                <c:ptCount val="27"/>
                <c:pt idx="0">
                  <c:v>16</c:v>
                </c:pt>
                <c:pt idx="1">
                  <c:v>20</c:v>
                </c:pt>
                <c:pt idx="2">
                  <c:v>26</c:v>
                </c:pt>
                <c:pt idx="3">
                  <c:v>32</c:v>
                </c:pt>
                <c:pt idx="4">
                  <c:v>40</c:v>
                </c:pt>
                <c:pt idx="5">
                  <c:v>50</c:v>
                </c:pt>
                <c:pt idx="6">
                  <c:v>75</c:v>
                </c:pt>
                <c:pt idx="7">
                  <c:v>93</c:v>
                </c:pt>
                <c:pt idx="8">
                  <c:v>114</c:v>
                </c:pt>
                <c:pt idx="9">
                  <c:v>140</c:v>
                </c:pt>
                <c:pt idx="10">
                  <c:v>174</c:v>
                </c:pt>
                <c:pt idx="11">
                  <c:v>211</c:v>
                </c:pt>
                <c:pt idx="12">
                  <c:v>260</c:v>
                </c:pt>
                <c:pt idx="13">
                  <c:v>340</c:v>
                </c:pt>
                <c:pt idx="14">
                  <c:v>388</c:v>
                </c:pt>
                <c:pt idx="15">
                  <c:v>435</c:v>
                </c:pt>
                <c:pt idx="16">
                  <c:v>609</c:v>
                </c:pt>
                <c:pt idx="17">
                  <c:v>709</c:v>
                </c:pt>
                <c:pt idx="18">
                  <c:v>801</c:v>
                </c:pt>
                <c:pt idx="19">
                  <c:v>891</c:v>
                </c:pt>
                <c:pt idx="20">
                  <c:v>950</c:v>
                </c:pt>
                <c:pt idx="21">
                  <c:v>1050</c:v>
                </c:pt>
                <c:pt idx="22">
                  <c:v>1150</c:v>
                </c:pt>
                <c:pt idx="23">
                  <c:v>1240</c:v>
                </c:pt>
                <c:pt idx="24">
                  <c:v>1360</c:v>
                </c:pt>
                <c:pt idx="25">
                  <c:v>1450</c:v>
                </c:pt>
                <c:pt idx="26">
                  <c:v>1520</c:v>
                </c:pt>
              </c:numCache>
            </c:numRef>
          </c:yVal>
          <c:smooth val="0"/>
          <c:extLst>
            <c:ext xmlns:c16="http://schemas.microsoft.com/office/drawing/2014/chart" uri="{C3380CC4-5D6E-409C-BE32-E72D297353CC}">
              <c16:uniqueId val="{00000001-2110-49D0-9562-11F52747765E}"/>
            </c:ext>
          </c:extLst>
        </c:ser>
        <c:dLbls>
          <c:showLegendKey val="0"/>
          <c:showVal val="0"/>
          <c:showCatName val="0"/>
          <c:showSerName val="0"/>
          <c:showPercent val="0"/>
          <c:showBubbleSize val="0"/>
        </c:dLbls>
        <c:axId val="792495344"/>
        <c:axId val="792496304"/>
      </c:scatterChart>
      <c:valAx>
        <c:axId val="79249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92496304"/>
        <c:crosses val="autoZero"/>
        <c:crossBetween val="midCat"/>
      </c:valAx>
      <c:valAx>
        <c:axId val="79249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924953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Freq vs Vbe (mv)</a:t>
            </a:r>
          </a:p>
          <a:p>
            <a:pPr>
              <a:defRPr/>
            </a:pPr>
            <a:r>
              <a:rPr lang="nl-NL"/>
              <a:t>10Kohm serie emitter NPN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Blad1!$G$114</c:f>
              <c:strCache>
                <c:ptCount val="1"/>
                <c:pt idx="0">
                  <c:v>Freq</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1"/>
            <c:trendlineLbl>
              <c:layout>
                <c:manualLayout>
                  <c:x val="-4.4790250364814453E-2"/>
                  <c:y val="7.432354634427172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xVal>
            <c:numRef>
              <c:f>Blad1!$F$115:$F$120</c:f>
              <c:numCache>
                <c:formatCode>General</c:formatCode>
                <c:ptCount val="6"/>
                <c:pt idx="0">
                  <c:v>256</c:v>
                </c:pt>
                <c:pt idx="1">
                  <c:v>312</c:v>
                </c:pt>
                <c:pt idx="2">
                  <c:v>368</c:v>
                </c:pt>
                <c:pt idx="3">
                  <c:v>424</c:v>
                </c:pt>
                <c:pt idx="4">
                  <c:v>480</c:v>
                </c:pt>
                <c:pt idx="5">
                  <c:v>528</c:v>
                </c:pt>
              </c:numCache>
            </c:numRef>
          </c:xVal>
          <c:yVal>
            <c:numRef>
              <c:f>Blad1!$G$115:$G$120</c:f>
              <c:numCache>
                <c:formatCode>General</c:formatCode>
                <c:ptCount val="6"/>
                <c:pt idx="0">
                  <c:v>1</c:v>
                </c:pt>
                <c:pt idx="1">
                  <c:v>5</c:v>
                </c:pt>
                <c:pt idx="2">
                  <c:v>12</c:v>
                </c:pt>
                <c:pt idx="3">
                  <c:v>98</c:v>
                </c:pt>
                <c:pt idx="4">
                  <c:v>578</c:v>
                </c:pt>
                <c:pt idx="5">
                  <c:v>1490</c:v>
                </c:pt>
              </c:numCache>
            </c:numRef>
          </c:yVal>
          <c:smooth val="0"/>
          <c:extLst>
            <c:ext xmlns:c16="http://schemas.microsoft.com/office/drawing/2014/chart" uri="{C3380CC4-5D6E-409C-BE32-E72D297353CC}">
              <c16:uniqueId val="{00000001-3A10-4BE0-A0BC-49E68CC4C4F2}"/>
            </c:ext>
          </c:extLst>
        </c:ser>
        <c:dLbls>
          <c:showLegendKey val="0"/>
          <c:showVal val="0"/>
          <c:showCatName val="0"/>
          <c:showSerName val="0"/>
          <c:showPercent val="0"/>
          <c:showBubbleSize val="0"/>
        </c:dLbls>
        <c:axId val="1090446304"/>
        <c:axId val="1090445824"/>
      </c:scatterChart>
      <c:valAx>
        <c:axId val="1090446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90445824"/>
        <c:crosses val="autoZero"/>
        <c:crossBetween val="midCat"/>
      </c:valAx>
      <c:valAx>
        <c:axId val="109044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904463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 vs Vbe (mV)</a:t>
            </a:r>
          </a:p>
          <a:p>
            <a:pPr>
              <a:defRPr/>
            </a:pPr>
            <a:r>
              <a:rPr lang="en-US"/>
              <a:t>10ohm</a:t>
            </a:r>
            <a:r>
              <a:rPr lang="en-US" baseline="0"/>
              <a:t> </a:t>
            </a:r>
            <a:r>
              <a:rPr lang="en-US"/>
              <a:t>serie emitter NPN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Blad1!$G$127</c:f>
              <c:strCache>
                <c:ptCount val="1"/>
                <c:pt idx="0">
                  <c:v>Freq</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1"/>
            <c:trendlineLbl>
              <c:layout>
                <c:manualLayout>
                  <c:x val="8.0993572986475276E-2"/>
                  <c:y val="-6.732384569032107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xVal>
            <c:numRef>
              <c:f>Blad1!$F$128:$F$138</c:f>
              <c:numCache>
                <c:formatCode>General</c:formatCode>
                <c:ptCount val="11"/>
                <c:pt idx="0">
                  <c:v>280</c:v>
                </c:pt>
                <c:pt idx="1">
                  <c:v>320</c:v>
                </c:pt>
                <c:pt idx="2">
                  <c:v>344</c:v>
                </c:pt>
                <c:pt idx="3">
                  <c:v>368</c:v>
                </c:pt>
                <c:pt idx="4">
                  <c:v>392</c:v>
                </c:pt>
                <c:pt idx="5">
                  <c:v>408</c:v>
                </c:pt>
                <c:pt idx="6">
                  <c:v>432</c:v>
                </c:pt>
                <c:pt idx="7">
                  <c:v>456</c:v>
                </c:pt>
                <c:pt idx="8">
                  <c:v>470</c:v>
                </c:pt>
                <c:pt idx="9">
                  <c:v>496</c:v>
                </c:pt>
                <c:pt idx="10">
                  <c:v>512</c:v>
                </c:pt>
              </c:numCache>
            </c:numRef>
          </c:xVal>
          <c:yVal>
            <c:numRef>
              <c:f>Blad1!$G$128:$G$138</c:f>
              <c:numCache>
                <c:formatCode>General</c:formatCode>
                <c:ptCount val="11"/>
                <c:pt idx="0">
                  <c:v>1</c:v>
                </c:pt>
                <c:pt idx="1">
                  <c:v>1</c:v>
                </c:pt>
                <c:pt idx="2">
                  <c:v>2</c:v>
                </c:pt>
                <c:pt idx="3">
                  <c:v>10</c:v>
                </c:pt>
                <c:pt idx="4">
                  <c:v>20</c:v>
                </c:pt>
                <c:pt idx="5">
                  <c:v>46</c:v>
                </c:pt>
                <c:pt idx="6">
                  <c:v>127</c:v>
                </c:pt>
                <c:pt idx="7">
                  <c:v>280</c:v>
                </c:pt>
                <c:pt idx="8">
                  <c:v>592</c:v>
                </c:pt>
                <c:pt idx="9">
                  <c:v>1190</c:v>
                </c:pt>
                <c:pt idx="10">
                  <c:v>1504</c:v>
                </c:pt>
              </c:numCache>
            </c:numRef>
          </c:yVal>
          <c:smooth val="0"/>
          <c:extLst>
            <c:ext xmlns:c16="http://schemas.microsoft.com/office/drawing/2014/chart" uri="{C3380CC4-5D6E-409C-BE32-E72D297353CC}">
              <c16:uniqueId val="{00000001-C5AE-4231-83B4-0773634AB2D2}"/>
            </c:ext>
          </c:extLst>
        </c:ser>
        <c:dLbls>
          <c:showLegendKey val="0"/>
          <c:showVal val="0"/>
          <c:showCatName val="0"/>
          <c:showSerName val="0"/>
          <c:showPercent val="0"/>
          <c:showBubbleSize val="0"/>
        </c:dLbls>
        <c:axId val="1090462144"/>
        <c:axId val="1090471744"/>
      </c:scatterChart>
      <c:valAx>
        <c:axId val="109046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90471744"/>
        <c:crosses val="autoZero"/>
        <c:crossBetween val="midCat"/>
      </c:valAx>
      <c:valAx>
        <c:axId val="109047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904621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Freq vs Vbe (mV)</a:t>
            </a:r>
          </a:p>
          <a:p>
            <a:pPr>
              <a:defRPr/>
            </a:pPr>
            <a:r>
              <a:rPr lang="nl-NL"/>
              <a:t>100k serie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tx>
            <c:strRef>
              <c:f>Blad1!$D$158</c:f>
              <c:strCache>
                <c:ptCount val="1"/>
                <c:pt idx="0">
                  <c:v>Freq</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Blad1!$C$159:$C$176</c:f>
              <c:numCache>
                <c:formatCode>General</c:formatCode>
                <c:ptCount val="18"/>
                <c:pt idx="0">
                  <c:v>320</c:v>
                </c:pt>
                <c:pt idx="1">
                  <c:v>360</c:v>
                </c:pt>
                <c:pt idx="2">
                  <c:v>400</c:v>
                </c:pt>
                <c:pt idx="3">
                  <c:v>440</c:v>
                </c:pt>
                <c:pt idx="4">
                  <c:v>480</c:v>
                </c:pt>
                <c:pt idx="5">
                  <c:v>540</c:v>
                </c:pt>
                <c:pt idx="6">
                  <c:v>560</c:v>
                </c:pt>
                <c:pt idx="7">
                  <c:v>600</c:v>
                </c:pt>
                <c:pt idx="8">
                  <c:v>620</c:v>
                </c:pt>
                <c:pt idx="9">
                  <c:v>640</c:v>
                </c:pt>
                <c:pt idx="10">
                  <c:v>660</c:v>
                </c:pt>
                <c:pt idx="11">
                  <c:v>700</c:v>
                </c:pt>
                <c:pt idx="12">
                  <c:v>720</c:v>
                </c:pt>
                <c:pt idx="13">
                  <c:v>740</c:v>
                </c:pt>
                <c:pt idx="14">
                  <c:v>780</c:v>
                </c:pt>
                <c:pt idx="15">
                  <c:v>800</c:v>
                </c:pt>
                <c:pt idx="16">
                  <c:v>840</c:v>
                </c:pt>
                <c:pt idx="17">
                  <c:v>860</c:v>
                </c:pt>
              </c:numCache>
            </c:numRef>
          </c:xVal>
          <c:yVal>
            <c:numRef>
              <c:f>Blad1!$D$159:$D$176</c:f>
              <c:numCache>
                <c:formatCode>General</c:formatCode>
                <c:ptCount val="18"/>
                <c:pt idx="0">
                  <c:v>1</c:v>
                </c:pt>
                <c:pt idx="1">
                  <c:v>3</c:v>
                </c:pt>
                <c:pt idx="2">
                  <c:v>6</c:v>
                </c:pt>
                <c:pt idx="3">
                  <c:v>35</c:v>
                </c:pt>
                <c:pt idx="4">
                  <c:v>60</c:v>
                </c:pt>
                <c:pt idx="5">
                  <c:v>240</c:v>
                </c:pt>
                <c:pt idx="6">
                  <c:v>267</c:v>
                </c:pt>
                <c:pt idx="7">
                  <c:v>491</c:v>
                </c:pt>
                <c:pt idx="8">
                  <c:v>521</c:v>
                </c:pt>
                <c:pt idx="9">
                  <c:v>612</c:v>
                </c:pt>
                <c:pt idx="10">
                  <c:v>765</c:v>
                </c:pt>
                <c:pt idx="11">
                  <c:v>873</c:v>
                </c:pt>
                <c:pt idx="12">
                  <c:v>1006</c:v>
                </c:pt>
                <c:pt idx="13">
                  <c:v>1030</c:v>
                </c:pt>
                <c:pt idx="14">
                  <c:v>1229</c:v>
                </c:pt>
                <c:pt idx="15">
                  <c:v>1240</c:v>
                </c:pt>
                <c:pt idx="16">
                  <c:v>1370</c:v>
                </c:pt>
                <c:pt idx="17">
                  <c:v>1410</c:v>
                </c:pt>
              </c:numCache>
            </c:numRef>
          </c:yVal>
          <c:smooth val="0"/>
          <c:extLst>
            <c:ext xmlns:c16="http://schemas.microsoft.com/office/drawing/2014/chart" uri="{C3380CC4-5D6E-409C-BE32-E72D297353CC}">
              <c16:uniqueId val="{00000000-4C5C-4D8F-B77B-B3DBA611F5F0}"/>
            </c:ext>
          </c:extLst>
        </c:ser>
        <c:dLbls>
          <c:showLegendKey val="0"/>
          <c:showVal val="0"/>
          <c:showCatName val="0"/>
          <c:showSerName val="0"/>
          <c:showPercent val="0"/>
          <c:showBubbleSize val="0"/>
        </c:dLbls>
        <c:axId val="916770880"/>
        <c:axId val="916766560"/>
      </c:scatterChart>
      <c:valAx>
        <c:axId val="916770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16766560"/>
        <c:crosses val="autoZero"/>
        <c:crossBetween val="midCat"/>
      </c:valAx>
      <c:valAx>
        <c:axId val="91676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167708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251460</xdr:colOff>
      <xdr:row>2</xdr:row>
      <xdr:rowOff>26670</xdr:rowOff>
    </xdr:from>
    <xdr:to>
      <xdr:col>15</xdr:col>
      <xdr:colOff>556260</xdr:colOff>
      <xdr:row>17</xdr:row>
      <xdr:rowOff>26670</xdr:rowOff>
    </xdr:to>
    <xdr:graphicFrame macro="">
      <xdr:nvGraphicFramePr>
        <xdr:cNvPr id="2" name="Grafiek 1">
          <a:extLst>
            <a:ext uri="{FF2B5EF4-FFF2-40B4-BE49-F238E27FC236}">
              <a16:creationId xmlns:a16="http://schemas.microsoft.com/office/drawing/2014/main" id="{EE561F8A-DDB7-29CC-5864-3EDB45A9C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11430</xdr:rowOff>
    </xdr:from>
    <xdr:to>
      <xdr:col>15</xdr:col>
      <xdr:colOff>304800</xdr:colOff>
      <xdr:row>32</xdr:row>
      <xdr:rowOff>11430</xdr:rowOff>
    </xdr:to>
    <xdr:graphicFrame macro="">
      <xdr:nvGraphicFramePr>
        <xdr:cNvPr id="4" name="Grafiek 3">
          <a:extLst>
            <a:ext uri="{FF2B5EF4-FFF2-40B4-BE49-F238E27FC236}">
              <a16:creationId xmlns:a16="http://schemas.microsoft.com/office/drawing/2014/main" id="{3FE811BB-5160-0E82-BEA2-8EECF2B32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xdr:colOff>
      <xdr:row>35</xdr:row>
      <xdr:rowOff>179070</xdr:rowOff>
    </xdr:from>
    <xdr:to>
      <xdr:col>14</xdr:col>
      <xdr:colOff>312420</xdr:colOff>
      <xdr:row>50</xdr:row>
      <xdr:rowOff>179070</xdr:rowOff>
    </xdr:to>
    <xdr:graphicFrame macro="">
      <xdr:nvGraphicFramePr>
        <xdr:cNvPr id="3" name="Grafiek 2">
          <a:extLst>
            <a:ext uri="{FF2B5EF4-FFF2-40B4-BE49-F238E27FC236}">
              <a16:creationId xmlns:a16="http://schemas.microsoft.com/office/drawing/2014/main" id="{7D37A62F-D816-DC25-057A-A6C57D1F4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83820</xdr:colOff>
      <xdr:row>52</xdr:row>
      <xdr:rowOff>179070</xdr:rowOff>
    </xdr:from>
    <xdr:to>
      <xdr:col>14</xdr:col>
      <xdr:colOff>388620</xdr:colOff>
      <xdr:row>67</xdr:row>
      <xdr:rowOff>179070</xdr:rowOff>
    </xdr:to>
    <xdr:graphicFrame macro="">
      <xdr:nvGraphicFramePr>
        <xdr:cNvPr id="7" name="Grafiek 6">
          <a:extLst>
            <a:ext uri="{FF2B5EF4-FFF2-40B4-BE49-F238E27FC236}">
              <a16:creationId xmlns:a16="http://schemas.microsoft.com/office/drawing/2014/main" id="{CEE7CCBC-26B6-6BF2-9331-218A629F7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88</xdr:row>
      <xdr:rowOff>99060</xdr:rowOff>
    </xdr:from>
    <xdr:to>
      <xdr:col>15</xdr:col>
      <xdr:colOff>38100</xdr:colOff>
      <xdr:row>100</xdr:row>
      <xdr:rowOff>171450</xdr:rowOff>
    </xdr:to>
    <xdr:graphicFrame macro="">
      <xdr:nvGraphicFramePr>
        <xdr:cNvPr id="5" name="Grafiek 4">
          <a:extLst>
            <a:ext uri="{FF2B5EF4-FFF2-40B4-BE49-F238E27FC236}">
              <a16:creationId xmlns:a16="http://schemas.microsoft.com/office/drawing/2014/main" id="{0867FDE9-78AB-2B75-7E1E-1B20C0E2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259080</xdr:colOff>
      <xdr:row>112</xdr:row>
      <xdr:rowOff>53340</xdr:rowOff>
    </xdr:from>
    <xdr:to>
      <xdr:col>15</xdr:col>
      <xdr:colOff>7620</xdr:colOff>
      <xdr:row>124</xdr:row>
      <xdr:rowOff>64770</xdr:rowOff>
    </xdr:to>
    <xdr:graphicFrame macro="">
      <xdr:nvGraphicFramePr>
        <xdr:cNvPr id="6" name="Grafiek 5">
          <a:extLst>
            <a:ext uri="{FF2B5EF4-FFF2-40B4-BE49-F238E27FC236}">
              <a16:creationId xmlns:a16="http://schemas.microsoft.com/office/drawing/2014/main" id="{A7B8C0D1-4EB2-FEEA-91B3-58D24C35D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91440</xdr:colOff>
      <xdr:row>125</xdr:row>
      <xdr:rowOff>179070</xdr:rowOff>
    </xdr:from>
    <xdr:to>
      <xdr:col>13</xdr:col>
      <xdr:colOff>220980</xdr:colOff>
      <xdr:row>139</xdr:row>
      <xdr:rowOff>91440</xdr:rowOff>
    </xdr:to>
    <xdr:graphicFrame macro="">
      <xdr:nvGraphicFramePr>
        <xdr:cNvPr id="8" name="Grafiek 7">
          <a:extLst>
            <a:ext uri="{FF2B5EF4-FFF2-40B4-BE49-F238E27FC236}">
              <a16:creationId xmlns:a16="http://schemas.microsoft.com/office/drawing/2014/main" id="{9D9BF72D-756A-5726-43A0-7FEEEB505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38100</xdr:colOff>
      <xdr:row>140</xdr:row>
      <xdr:rowOff>53340</xdr:rowOff>
    </xdr:from>
    <xdr:to>
      <xdr:col>8</xdr:col>
      <xdr:colOff>76200</xdr:colOff>
      <xdr:row>152</xdr:row>
      <xdr:rowOff>125730</xdr:rowOff>
    </xdr:to>
    <xdr:graphicFrame macro="">
      <xdr:nvGraphicFramePr>
        <xdr:cNvPr id="9" name="Grafiek 8">
          <a:extLst>
            <a:ext uri="{FF2B5EF4-FFF2-40B4-BE49-F238E27FC236}">
              <a16:creationId xmlns:a16="http://schemas.microsoft.com/office/drawing/2014/main" id="{B4EF89B3-8362-48CA-861E-453DCC0B3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236220</xdr:colOff>
      <xdr:row>139</xdr:row>
      <xdr:rowOff>99060</xdr:rowOff>
    </xdr:from>
    <xdr:to>
      <xdr:col>20</xdr:col>
      <xdr:colOff>594360</xdr:colOff>
      <xdr:row>151</xdr:row>
      <xdr:rowOff>110490</xdr:rowOff>
    </xdr:to>
    <xdr:graphicFrame macro="">
      <xdr:nvGraphicFramePr>
        <xdr:cNvPr id="10" name="Grafiek 9">
          <a:extLst>
            <a:ext uri="{FF2B5EF4-FFF2-40B4-BE49-F238E27FC236}">
              <a16:creationId xmlns:a16="http://schemas.microsoft.com/office/drawing/2014/main" id="{A2137D69-9446-46BF-B42D-D0909D5CA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60960</xdr:colOff>
      <xdr:row>139</xdr:row>
      <xdr:rowOff>83820</xdr:rowOff>
    </xdr:from>
    <xdr:to>
      <xdr:col>14</xdr:col>
      <xdr:colOff>38100</xdr:colOff>
      <xdr:row>152</xdr:row>
      <xdr:rowOff>30480</xdr:rowOff>
    </xdr:to>
    <xdr:graphicFrame macro="">
      <xdr:nvGraphicFramePr>
        <xdr:cNvPr id="11" name="Grafiek 10">
          <a:extLst>
            <a:ext uri="{FF2B5EF4-FFF2-40B4-BE49-F238E27FC236}">
              <a16:creationId xmlns:a16="http://schemas.microsoft.com/office/drawing/2014/main" id="{857046AB-3D20-4923-BF6C-B7B2EC998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91440</xdr:colOff>
      <xdr:row>156</xdr:row>
      <xdr:rowOff>179070</xdr:rowOff>
    </xdr:from>
    <xdr:to>
      <xdr:col>12</xdr:col>
      <xdr:colOff>396240</xdr:colOff>
      <xdr:row>171</xdr:row>
      <xdr:rowOff>179070</xdr:rowOff>
    </xdr:to>
    <xdr:graphicFrame macro="">
      <xdr:nvGraphicFramePr>
        <xdr:cNvPr id="12" name="Grafiek 11">
          <a:extLst>
            <a:ext uri="{FF2B5EF4-FFF2-40B4-BE49-F238E27FC236}">
              <a16:creationId xmlns:a16="http://schemas.microsoft.com/office/drawing/2014/main" id="{EFC8B6F7-FB8F-689F-2554-CFE5B250E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EF918-F615-4529-8269-3C0B17DF6942}">
  <dimension ref="A1:P176"/>
  <sheetViews>
    <sheetView tabSelected="1" topLeftCell="A151" workbookViewId="0">
      <selection activeCell="A14" sqref="A14"/>
    </sheetView>
  </sheetViews>
  <sheetFormatPr defaultRowHeight="14.4" x14ac:dyDescent="0.3"/>
  <sheetData>
    <row r="1" spans="1:7" x14ac:dyDescent="0.3">
      <c r="A1" t="s">
        <v>32</v>
      </c>
    </row>
    <row r="2" spans="1:7" x14ac:dyDescent="0.3">
      <c r="F2" t="s">
        <v>8</v>
      </c>
    </row>
    <row r="3" spans="1:7" x14ac:dyDescent="0.3">
      <c r="F3" t="s">
        <v>0</v>
      </c>
      <c r="G3" t="s">
        <v>1</v>
      </c>
    </row>
    <row r="4" spans="1:7" x14ac:dyDescent="0.3">
      <c r="F4" t="s">
        <v>2</v>
      </c>
      <c r="G4">
        <v>1400</v>
      </c>
    </row>
    <row r="5" spans="1:7" x14ac:dyDescent="0.3">
      <c r="F5" t="s">
        <v>3</v>
      </c>
      <c r="G5">
        <v>700</v>
      </c>
    </row>
    <row r="6" spans="1:7" x14ac:dyDescent="0.3">
      <c r="F6" t="s">
        <v>4</v>
      </c>
      <c r="G6">
        <v>500</v>
      </c>
    </row>
    <row r="7" spans="1:7" x14ac:dyDescent="0.3">
      <c r="F7" t="s">
        <v>5</v>
      </c>
      <c r="G7">
        <v>400</v>
      </c>
    </row>
    <row r="8" spans="1:7" x14ac:dyDescent="0.3">
      <c r="F8" t="s">
        <v>6</v>
      </c>
      <c r="G8">
        <v>300</v>
      </c>
    </row>
    <row r="9" spans="1:7" x14ac:dyDescent="0.3">
      <c r="F9" t="s">
        <v>7</v>
      </c>
      <c r="G9">
        <v>266</v>
      </c>
    </row>
    <row r="10" spans="1:7" x14ac:dyDescent="0.3">
      <c r="A10" t="s">
        <v>33</v>
      </c>
    </row>
    <row r="18" spans="6:7" x14ac:dyDescent="0.3">
      <c r="F18" t="s">
        <v>9</v>
      </c>
    </row>
    <row r="19" spans="6:7" x14ac:dyDescent="0.3">
      <c r="F19" t="s">
        <v>0</v>
      </c>
      <c r="G19" t="s">
        <v>1</v>
      </c>
    </row>
    <row r="20" spans="6:7" x14ac:dyDescent="0.3">
      <c r="F20" t="s">
        <v>2</v>
      </c>
      <c r="G20">
        <v>1650</v>
      </c>
    </row>
    <row r="21" spans="6:7" x14ac:dyDescent="0.3">
      <c r="F21" t="s">
        <v>3</v>
      </c>
      <c r="G21">
        <v>890</v>
      </c>
    </row>
    <row r="22" spans="6:7" x14ac:dyDescent="0.3">
      <c r="F22" t="s">
        <v>4</v>
      </c>
      <c r="G22">
        <v>584</v>
      </c>
    </row>
    <row r="23" spans="6:7" x14ac:dyDescent="0.3">
      <c r="F23" t="s">
        <v>10</v>
      </c>
      <c r="G23">
        <v>374</v>
      </c>
    </row>
    <row r="24" spans="6:7" x14ac:dyDescent="0.3">
      <c r="F24" t="s">
        <v>11</v>
      </c>
      <c r="G24">
        <v>309</v>
      </c>
    </row>
    <row r="35" spans="6:7" x14ac:dyDescent="0.3">
      <c r="F35" t="s">
        <v>12</v>
      </c>
    </row>
    <row r="36" spans="6:7" x14ac:dyDescent="0.3">
      <c r="F36" t="s">
        <v>14</v>
      </c>
    </row>
    <row r="38" spans="6:7" x14ac:dyDescent="0.3">
      <c r="F38" t="s">
        <v>13</v>
      </c>
      <c r="G38" t="s">
        <v>1</v>
      </c>
    </row>
    <row r="39" spans="6:7" x14ac:dyDescent="0.3">
      <c r="F39">
        <v>0.6</v>
      </c>
      <c r="G39">
        <v>1486</v>
      </c>
    </row>
    <row r="40" spans="6:7" x14ac:dyDescent="0.3">
      <c r="F40">
        <v>0.61</v>
      </c>
      <c r="G40">
        <v>1488</v>
      </c>
    </row>
    <row r="41" spans="6:7" x14ac:dyDescent="0.3">
      <c r="F41">
        <v>0.62</v>
      </c>
      <c r="G41">
        <v>1512</v>
      </c>
    </row>
    <row r="42" spans="6:7" x14ac:dyDescent="0.3">
      <c r="F42">
        <v>0.63</v>
      </c>
      <c r="G42">
        <v>1553</v>
      </c>
    </row>
    <row r="43" spans="6:7" x14ac:dyDescent="0.3">
      <c r="F43">
        <v>0.64</v>
      </c>
      <c r="G43">
        <v>1607</v>
      </c>
    </row>
    <row r="44" spans="6:7" x14ac:dyDescent="0.3">
      <c r="F44">
        <v>0.65</v>
      </c>
      <c r="G44">
        <v>1677</v>
      </c>
    </row>
    <row r="45" spans="6:7" x14ac:dyDescent="0.3">
      <c r="F45">
        <v>0.66</v>
      </c>
      <c r="G45">
        <v>1761</v>
      </c>
    </row>
    <row r="46" spans="6:7" x14ac:dyDescent="0.3">
      <c r="F46">
        <v>0.67</v>
      </c>
      <c r="G46">
        <v>1869</v>
      </c>
    </row>
    <row r="47" spans="6:7" x14ac:dyDescent="0.3">
      <c r="F47">
        <v>0.68</v>
      </c>
      <c r="G47">
        <v>1961</v>
      </c>
    </row>
    <row r="48" spans="6:7" x14ac:dyDescent="0.3">
      <c r="F48">
        <v>0.69</v>
      </c>
      <c r="G48">
        <v>2099</v>
      </c>
    </row>
    <row r="49" spans="6:7" x14ac:dyDescent="0.3">
      <c r="F49">
        <v>0.7</v>
      </c>
      <c r="G49">
        <v>2211</v>
      </c>
    </row>
    <row r="53" spans="6:7" x14ac:dyDescent="0.3">
      <c r="F53" t="s">
        <v>15</v>
      </c>
    </row>
    <row r="54" spans="6:7" x14ac:dyDescent="0.3">
      <c r="F54" t="s">
        <v>13</v>
      </c>
      <c r="G54" t="s">
        <v>1</v>
      </c>
    </row>
    <row r="55" spans="6:7" x14ac:dyDescent="0.3">
      <c r="F55">
        <v>0</v>
      </c>
      <c r="G55">
        <v>0</v>
      </c>
    </row>
    <row r="56" spans="6:7" x14ac:dyDescent="0.3">
      <c r="F56">
        <v>50</v>
      </c>
      <c r="G56">
        <v>0.01</v>
      </c>
    </row>
    <row r="57" spans="6:7" x14ac:dyDescent="0.3">
      <c r="F57">
        <v>100</v>
      </c>
      <c r="G57">
        <v>0.02</v>
      </c>
    </row>
    <row r="58" spans="6:7" x14ac:dyDescent="0.3">
      <c r="F58">
        <v>150</v>
      </c>
      <c r="G58">
        <v>0.1</v>
      </c>
    </row>
    <row r="59" spans="6:7" x14ac:dyDescent="0.3">
      <c r="F59">
        <v>200</v>
      </c>
      <c r="G59">
        <v>1</v>
      </c>
    </row>
    <row r="60" spans="6:7" x14ac:dyDescent="0.3">
      <c r="F60">
        <v>250</v>
      </c>
      <c r="G60">
        <v>1</v>
      </c>
    </row>
    <row r="61" spans="6:7" x14ac:dyDescent="0.3">
      <c r="F61">
        <v>300</v>
      </c>
      <c r="G61">
        <v>2</v>
      </c>
    </row>
    <row r="62" spans="6:7" x14ac:dyDescent="0.3">
      <c r="F62">
        <v>350</v>
      </c>
      <c r="G62">
        <v>4</v>
      </c>
    </row>
    <row r="63" spans="6:7" x14ac:dyDescent="0.3">
      <c r="F63">
        <v>400</v>
      </c>
      <c r="G63">
        <v>8</v>
      </c>
    </row>
    <row r="64" spans="6:7" x14ac:dyDescent="0.3">
      <c r="F64">
        <v>450</v>
      </c>
      <c r="G64">
        <v>28</v>
      </c>
    </row>
    <row r="65" spans="5:8" x14ac:dyDescent="0.3">
      <c r="F65">
        <v>500</v>
      </c>
      <c r="G65">
        <v>166</v>
      </c>
    </row>
    <row r="66" spans="5:8" x14ac:dyDescent="0.3">
      <c r="F66">
        <v>550</v>
      </c>
      <c r="G66">
        <v>642</v>
      </c>
    </row>
    <row r="67" spans="5:8" x14ac:dyDescent="0.3">
      <c r="F67">
        <v>600</v>
      </c>
      <c r="G67">
        <v>1288</v>
      </c>
    </row>
    <row r="70" spans="5:8" x14ac:dyDescent="0.3">
      <c r="F70" t="s">
        <v>16</v>
      </c>
    </row>
    <row r="72" spans="5:8" x14ac:dyDescent="0.3">
      <c r="F72" t="s">
        <v>17</v>
      </c>
      <c r="G72" t="s">
        <v>18</v>
      </c>
      <c r="H72" t="s">
        <v>19</v>
      </c>
    </row>
    <row r="73" spans="5:8" x14ac:dyDescent="0.3">
      <c r="F73" t="s">
        <v>20</v>
      </c>
      <c r="G73" t="s">
        <v>20</v>
      </c>
    </row>
    <row r="74" spans="5:8" x14ac:dyDescent="0.3">
      <c r="F74">
        <v>374</v>
      </c>
      <c r="G74">
        <v>303</v>
      </c>
    </row>
    <row r="75" spans="5:8" x14ac:dyDescent="0.3">
      <c r="F75">
        <v>366</v>
      </c>
      <c r="G75">
        <v>309</v>
      </c>
    </row>
    <row r="76" spans="5:8" x14ac:dyDescent="0.3">
      <c r="F76">
        <v>370</v>
      </c>
    </row>
    <row r="77" spans="5:8" x14ac:dyDescent="0.3">
      <c r="F77">
        <v>387</v>
      </c>
    </row>
    <row r="78" spans="5:8" x14ac:dyDescent="0.3">
      <c r="F78">
        <v>369</v>
      </c>
    </row>
    <row r="79" spans="5:8" x14ac:dyDescent="0.3">
      <c r="E79" t="s">
        <v>21</v>
      </c>
      <c r="F79">
        <f>AVERAGE(F74:F78)</f>
        <v>373.2</v>
      </c>
      <c r="G79">
        <f>AVERAGE(G74:G75)</f>
        <v>306</v>
      </c>
    </row>
    <row r="81" spans="6:7" x14ac:dyDescent="0.3">
      <c r="F81" t="s">
        <v>22</v>
      </c>
    </row>
    <row r="82" spans="6:7" x14ac:dyDescent="0.3">
      <c r="F82" t="s">
        <v>24</v>
      </c>
      <c r="G82" t="s">
        <v>23</v>
      </c>
    </row>
    <row r="83" spans="6:7" x14ac:dyDescent="0.3">
      <c r="F83">
        <v>367</v>
      </c>
      <c r="G83">
        <v>16</v>
      </c>
    </row>
    <row r="84" spans="6:7" x14ac:dyDescent="0.3">
      <c r="F84">
        <v>374</v>
      </c>
      <c r="G84">
        <v>20</v>
      </c>
    </row>
    <row r="85" spans="6:7" x14ac:dyDescent="0.3">
      <c r="F85">
        <v>382</v>
      </c>
      <c r="G85">
        <v>26</v>
      </c>
    </row>
    <row r="86" spans="6:7" x14ac:dyDescent="0.3">
      <c r="F86">
        <v>389</v>
      </c>
      <c r="G86">
        <v>32</v>
      </c>
    </row>
    <row r="87" spans="6:7" x14ac:dyDescent="0.3">
      <c r="F87">
        <v>395</v>
      </c>
      <c r="G87">
        <v>40</v>
      </c>
    </row>
    <row r="88" spans="6:7" x14ac:dyDescent="0.3">
      <c r="F88">
        <v>400</v>
      </c>
      <c r="G88">
        <v>50</v>
      </c>
    </row>
    <row r="89" spans="6:7" x14ac:dyDescent="0.3">
      <c r="F89">
        <v>407</v>
      </c>
      <c r="G89">
        <v>75</v>
      </c>
    </row>
    <row r="90" spans="6:7" x14ac:dyDescent="0.3">
      <c r="F90">
        <v>414</v>
      </c>
      <c r="G90">
        <v>93</v>
      </c>
    </row>
    <row r="91" spans="6:7" x14ac:dyDescent="0.3">
      <c r="F91">
        <v>420</v>
      </c>
      <c r="G91">
        <v>114</v>
      </c>
    </row>
    <row r="92" spans="6:7" x14ac:dyDescent="0.3">
      <c r="F92">
        <v>424</v>
      </c>
      <c r="G92">
        <v>140</v>
      </c>
    </row>
    <row r="93" spans="6:7" x14ac:dyDescent="0.3">
      <c r="F93">
        <v>430</v>
      </c>
      <c r="G93">
        <v>174</v>
      </c>
    </row>
    <row r="94" spans="6:7" x14ac:dyDescent="0.3">
      <c r="F94">
        <v>435</v>
      </c>
      <c r="G94">
        <v>211</v>
      </c>
    </row>
    <row r="95" spans="6:7" x14ac:dyDescent="0.3">
      <c r="F95">
        <v>440</v>
      </c>
      <c r="G95">
        <v>260</v>
      </c>
    </row>
    <row r="96" spans="6:7" x14ac:dyDescent="0.3">
      <c r="F96">
        <v>446</v>
      </c>
      <c r="G96">
        <v>340</v>
      </c>
    </row>
    <row r="97" spans="6:10" x14ac:dyDescent="0.3">
      <c r="F97">
        <v>451</v>
      </c>
      <c r="G97">
        <v>388</v>
      </c>
    </row>
    <row r="98" spans="6:10" x14ac:dyDescent="0.3">
      <c r="F98">
        <v>454</v>
      </c>
      <c r="G98">
        <v>435</v>
      </c>
    </row>
    <row r="99" spans="6:10" x14ac:dyDescent="0.3">
      <c r="F99">
        <v>462</v>
      </c>
      <c r="G99">
        <v>609</v>
      </c>
    </row>
    <row r="100" spans="6:10" x14ac:dyDescent="0.3">
      <c r="F100">
        <v>470</v>
      </c>
      <c r="G100">
        <v>709</v>
      </c>
    </row>
    <row r="101" spans="6:10" x14ac:dyDescent="0.3">
      <c r="F101">
        <v>471</v>
      </c>
      <c r="G101">
        <v>801</v>
      </c>
    </row>
    <row r="102" spans="6:10" x14ac:dyDescent="0.3">
      <c r="F102">
        <v>475</v>
      </c>
      <c r="G102">
        <v>891</v>
      </c>
    </row>
    <row r="103" spans="6:10" x14ac:dyDescent="0.3">
      <c r="F103">
        <v>477</v>
      </c>
      <c r="G103">
        <v>950</v>
      </c>
    </row>
    <row r="104" spans="6:10" x14ac:dyDescent="0.3">
      <c r="F104">
        <v>479</v>
      </c>
      <c r="G104">
        <v>1050</v>
      </c>
      <c r="J104" t="s">
        <v>25</v>
      </c>
    </row>
    <row r="105" spans="6:10" x14ac:dyDescent="0.3">
      <c r="F105">
        <v>485</v>
      </c>
      <c r="G105">
        <v>1150</v>
      </c>
    </row>
    <row r="106" spans="6:10" x14ac:dyDescent="0.3">
      <c r="F106">
        <v>486</v>
      </c>
      <c r="G106">
        <v>1240</v>
      </c>
    </row>
    <row r="107" spans="6:10" x14ac:dyDescent="0.3">
      <c r="F107">
        <v>489</v>
      </c>
      <c r="G107">
        <v>1360</v>
      </c>
    </row>
    <row r="108" spans="6:10" x14ac:dyDescent="0.3">
      <c r="F108">
        <v>493</v>
      </c>
      <c r="G108">
        <v>1450</v>
      </c>
    </row>
    <row r="109" spans="6:10" x14ac:dyDescent="0.3">
      <c r="F109">
        <v>495</v>
      </c>
      <c r="G109">
        <v>1520</v>
      </c>
    </row>
    <row r="112" spans="6:10" x14ac:dyDescent="0.3">
      <c r="F112" t="s">
        <v>26</v>
      </c>
    </row>
    <row r="114" spans="6:7" x14ac:dyDescent="0.3">
      <c r="F114" t="s">
        <v>13</v>
      </c>
      <c r="G114" t="s">
        <v>1</v>
      </c>
    </row>
    <row r="115" spans="6:7" x14ac:dyDescent="0.3">
      <c r="F115">
        <v>256</v>
      </c>
      <c r="G115">
        <v>1</v>
      </c>
    </row>
    <row r="116" spans="6:7" x14ac:dyDescent="0.3">
      <c r="F116">
        <v>312</v>
      </c>
      <c r="G116">
        <v>5</v>
      </c>
    </row>
    <row r="117" spans="6:7" x14ac:dyDescent="0.3">
      <c r="F117">
        <v>368</v>
      </c>
      <c r="G117">
        <v>12</v>
      </c>
    </row>
    <row r="118" spans="6:7" x14ac:dyDescent="0.3">
      <c r="F118">
        <v>424</v>
      </c>
      <c r="G118">
        <v>98</v>
      </c>
    </row>
    <row r="119" spans="6:7" x14ac:dyDescent="0.3">
      <c r="F119">
        <v>480</v>
      </c>
      <c r="G119">
        <v>578</v>
      </c>
    </row>
    <row r="120" spans="6:7" x14ac:dyDescent="0.3">
      <c r="F120">
        <v>528</v>
      </c>
      <c r="G120">
        <v>1490</v>
      </c>
    </row>
    <row r="121" spans="6:7" x14ac:dyDescent="0.3">
      <c r="F121">
        <v>568</v>
      </c>
      <c r="G121">
        <v>1500</v>
      </c>
    </row>
    <row r="126" spans="6:7" x14ac:dyDescent="0.3">
      <c r="F126" t="s">
        <v>27</v>
      </c>
    </row>
    <row r="127" spans="6:7" x14ac:dyDescent="0.3">
      <c r="F127" t="s">
        <v>13</v>
      </c>
      <c r="G127" t="s">
        <v>1</v>
      </c>
    </row>
    <row r="128" spans="6:7" x14ac:dyDescent="0.3">
      <c r="F128">
        <v>280</v>
      </c>
      <c r="G128">
        <v>1</v>
      </c>
    </row>
    <row r="129" spans="6:7" x14ac:dyDescent="0.3">
      <c r="F129">
        <v>320</v>
      </c>
      <c r="G129">
        <v>1</v>
      </c>
    </row>
    <row r="130" spans="6:7" x14ac:dyDescent="0.3">
      <c r="F130">
        <v>344</v>
      </c>
      <c r="G130">
        <v>2</v>
      </c>
    </row>
    <row r="131" spans="6:7" x14ac:dyDescent="0.3">
      <c r="F131">
        <v>368</v>
      </c>
      <c r="G131">
        <v>10</v>
      </c>
    </row>
    <row r="132" spans="6:7" x14ac:dyDescent="0.3">
      <c r="F132">
        <v>392</v>
      </c>
      <c r="G132">
        <v>20</v>
      </c>
    </row>
    <row r="133" spans="6:7" x14ac:dyDescent="0.3">
      <c r="F133">
        <v>408</v>
      </c>
      <c r="G133">
        <v>46</v>
      </c>
    </row>
    <row r="134" spans="6:7" x14ac:dyDescent="0.3">
      <c r="F134">
        <v>432</v>
      </c>
      <c r="G134">
        <v>127</v>
      </c>
    </row>
    <row r="135" spans="6:7" x14ac:dyDescent="0.3">
      <c r="F135">
        <v>456</v>
      </c>
      <c r="G135">
        <v>280</v>
      </c>
    </row>
    <row r="136" spans="6:7" x14ac:dyDescent="0.3">
      <c r="F136">
        <v>470</v>
      </c>
      <c r="G136">
        <v>592</v>
      </c>
    </row>
    <row r="137" spans="6:7" x14ac:dyDescent="0.3">
      <c r="F137">
        <v>496</v>
      </c>
      <c r="G137">
        <v>1190</v>
      </c>
    </row>
    <row r="138" spans="6:7" x14ac:dyDescent="0.3">
      <c r="F138">
        <v>512</v>
      </c>
      <c r="G138">
        <v>1504</v>
      </c>
    </row>
    <row r="154" spans="3:16" x14ac:dyDescent="0.3">
      <c r="D154" t="s">
        <v>29</v>
      </c>
      <c r="J154" t="s">
        <v>30</v>
      </c>
      <c r="P154" t="s">
        <v>31</v>
      </c>
    </row>
    <row r="157" spans="3:16" x14ac:dyDescent="0.3">
      <c r="C157" t="s">
        <v>28</v>
      </c>
    </row>
    <row r="158" spans="3:16" x14ac:dyDescent="0.3">
      <c r="C158" t="s">
        <v>13</v>
      </c>
      <c r="D158" t="s">
        <v>1</v>
      </c>
    </row>
    <row r="159" spans="3:16" x14ac:dyDescent="0.3">
      <c r="C159">
        <v>320</v>
      </c>
      <c r="D159">
        <v>1</v>
      </c>
    </row>
    <row r="160" spans="3:16" x14ac:dyDescent="0.3">
      <c r="C160">
        <v>360</v>
      </c>
      <c r="D160">
        <v>3</v>
      </c>
    </row>
    <row r="161" spans="3:4" x14ac:dyDescent="0.3">
      <c r="C161">
        <v>400</v>
      </c>
      <c r="D161">
        <v>6</v>
      </c>
    </row>
    <row r="162" spans="3:4" x14ac:dyDescent="0.3">
      <c r="C162">
        <v>440</v>
      </c>
      <c r="D162">
        <v>35</v>
      </c>
    </row>
    <row r="163" spans="3:4" x14ac:dyDescent="0.3">
      <c r="C163">
        <v>480</v>
      </c>
      <c r="D163">
        <v>60</v>
      </c>
    </row>
    <row r="164" spans="3:4" x14ac:dyDescent="0.3">
      <c r="C164">
        <v>540</v>
      </c>
      <c r="D164">
        <v>240</v>
      </c>
    </row>
    <row r="165" spans="3:4" x14ac:dyDescent="0.3">
      <c r="C165">
        <v>560</v>
      </c>
      <c r="D165">
        <v>267</v>
      </c>
    </row>
    <row r="166" spans="3:4" x14ac:dyDescent="0.3">
      <c r="C166">
        <v>600</v>
      </c>
      <c r="D166">
        <v>491</v>
      </c>
    </row>
    <row r="167" spans="3:4" x14ac:dyDescent="0.3">
      <c r="C167">
        <v>620</v>
      </c>
      <c r="D167">
        <v>521</v>
      </c>
    </row>
    <row r="168" spans="3:4" x14ac:dyDescent="0.3">
      <c r="C168">
        <v>640</v>
      </c>
      <c r="D168">
        <v>612</v>
      </c>
    </row>
    <row r="169" spans="3:4" x14ac:dyDescent="0.3">
      <c r="C169">
        <v>660</v>
      </c>
      <c r="D169">
        <v>765</v>
      </c>
    </row>
    <row r="170" spans="3:4" x14ac:dyDescent="0.3">
      <c r="C170">
        <v>700</v>
      </c>
      <c r="D170">
        <v>873</v>
      </c>
    </row>
    <row r="171" spans="3:4" x14ac:dyDescent="0.3">
      <c r="C171">
        <v>720</v>
      </c>
      <c r="D171">
        <v>1006</v>
      </c>
    </row>
    <row r="172" spans="3:4" x14ac:dyDescent="0.3">
      <c r="C172">
        <v>740</v>
      </c>
      <c r="D172">
        <v>1030</v>
      </c>
    </row>
    <row r="173" spans="3:4" x14ac:dyDescent="0.3">
      <c r="C173">
        <v>780</v>
      </c>
      <c r="D173">
        <v>1229</v>
      </c>
    </row>
    <row r="174" spans="3:4" x14ac:dyDescent="0.3">
      <c r="C174">
        <v>800</v>
      </c>
      <c r="D174">
        <v>1240</v>
      </c>
    </row>
    <row r="175" spans="3:4" x14ac:dyDescent="0.3">
      <c r="C175">
        <v>840</v>
      </c>
      <c r="D175">
        <v>1370</v>
      </c>
    </row>
    <row r="176" spans="3:4" x14ac:dyDescent="0.3">
      <c r="C176">
        <v>860</v>
      </c>
      <c r="D176">
        <v>1410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Thijn Berkhoff (student)</dc:creator>
  <cp:lastModifiedBy>Thijn Berkhoff (student)</cp:lastModifiedBy>
  <dcterms:created xsi:type="dcterms:W3CDTF">2025-03-03T11:55:50Z</dcterms:created>
  <dcterms:modified xsi:type="dcterms:W3CDTF">2025-07-01T11:05:39Z</dcterms:modified>
</cp:coreProperties>
</file>