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cuments\Windesheim opdrachten\Jaar 2\PIB\PCB\"/>
    </mc:Choice>
  </mc:AlternateContent>
  <xr:revisionPtr revIDLastSave="0" documentId="13_ncr:1_{DAB73C3A-304F-4190-8DED-AF0CCD64FF2A}" xr6:coauthVersionLast="47" xr6:coauthVersionMax="47" xr10:uidLastSave="{00000000-0000-0000-0000-000000000000}"/>
  <bookViews>
    <workbookView xWindow="-21540" yWindow="1500" windowWidth="17280" windowHeight="8880" xr2:uid="{0373ADB0-C2EB-4BA3-8338-A5049C09B3E6}"/>
  </bookViews>
  <sheets>
    <sheet name="Blad1" sheetId="1" r:id="rId1"/>
  </sheets>
  <definedNames>
    <definedName name="_xlnm._FilterDatabase" localSheetId="0" hidden="1">Blad1!$C$3:$C$35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F25" i="1"/>
  <c r="F24" i="1"/>
  <c r="F23" i="1"/>
  <c r="F22" i="1"/>
  <c r="F19" i="1"/>
  <c r="F4" i="1"/>
  <c r="F5" i="1"/>
  <c r="F6" i="1"/>
  <c r="F7" i="1"/>
  <c r="F8" i="1"/>
  <c r="F9" i="1"/>
  <c r="F10" i="1"/>
  <c r="F12" i="1"/>
  <c r="F13" i="1"/>
  <c r="F14" i="1"/>
  <c r="F15" i="1"/>
  <c r="F16" i="1"/>
  <c r="F17" i="1"/>
  <c r="F18" i="1"/>
  <c r="F20" i="1"/>
  <c r="F21" i="1"/>
  <c r="F27" i="1"/>
  <c r="F28" i="1"/>
  <c r="F29" i="1"/>
  <c r="F30" i="1"/>
  <c r="F31" i="1"/>
  <c r="F32" i="1"/>
  <c r="F33" i="1"/>
  <c r="F34" i="1"/>
  <c r="F11" i="1"/>
  <c r="F35" i="1" l="1"/>
</calcChain>
</file>

<file path=xl/sharedStrings.xml><?xml version="1.0" encoding="utf-8"?>
<sst xmlns="http://schemas.openxmlformats.org/spreadsheetml/2006/main" count="130" uniqueCount="71">
  <si>
    <t>componenten</t>
  </si>
  <si>
    <t>BD139</t>
  </si>
  <si>
    <t>BD140</t>
  </si>
  <si>
    <t>Linkje</t>
  </si>
  <si>
    <t>https://nl.mouser.com/ProductDetail/Infineon-Technologies/IRF540NPBF?qs=9%252BKlkBgLFf36us%252Bg5kwffA%3D%3D</t>
  </si>
  <si>
    <t>https://nl.mouser.com/ProductDetail/Infineon-Technologies/IRF9540NPBF?qs=9%252BKlkBgLFf0vnuA8mxUPtw%3D%3D</t>
  </si>
  <si>
    <t>https://nl.mouser.com/ProductDetail/Texas-Instruments/TL072IP?qs=5BZzbFV4k2v7IBrcArRPQw%3D%3D</t>
  </si>
  <si>
    <t>IRF540NPBF</t>
  </si>
  <si>
    <t>IRF9540NPBF</t>
  </si>
  <si>
    <t>TL072IP</t>
  </si>
  <si>
    <t>https://nl.mouser.com/ProductDetail/STMicroelectronics/BD139?qs=ljbEvF4DwOPW%2FLxHSWYMMA%3D%3D</t>
  </si>
  <si>
    <t>https://nl.mouser.com/ProductDetail/STMicroelectronics/BD140?qs=ljbEvF4DwOOQh3TFtIzRQQ%3D%3D</t>
  </si>
  <si>
    <t>Potmeter 1K</t>
  </si>
  <si>
    <t>Elco 4700uF</t>
  </si>
  <si>
    <t>Potmeter 20K</t>
  </si>
  <si>
    <t>prijs (per stuk)</t>
  </si>
  <si>
    <t>https://nl.mouser.com/ProductDetail/Bourns/PTA6043-2015DPA103?qs=U%2FacTlguYxapXI1x524WqA%3D%3D</t>
  </si>
  <si>
    <t>hoeveelheid nodig</t>
  </si>
  <si>
    <t>https://nl.mouser.com/ProductDetail/WIMA/MKS4C034702C00JSSD?qs=2G4irm%2FqADzbKabShRSisw%3D%3D</t>
  </si>
  <si>
    <t>foliecondensator</t>
  </si>
  <si>
    <t>https://nl.mouser.com/ProductDetail/Cornell-Dubilier-CDE/478CKE025MQV?qs=sGAEpiMZZMvwFf0viD3Y3TMnxRwPJuf7fEX1AI2NHlBR7bl6ACd0lw%3D%3D</t>
  </si>
  <si>
    <t>6,3mm audio jack</t>
  </si>
  <si>
    <t>https://nl.mouser.com/ProductDetail/Same-Sky/SJ-63053A?qs=hWgE7mdIu5Q5ZZx8mXk5JQ%3D%3D</t>
  </si>
  <si>
    <t>bridge rectifier</t>
  </si>
  <si>
    <t>https://nl.mouser.com/ProductDetail/Vishay-General-Semiconductor/KBU8B-E4-51?qs=NyKJzQ80QAygqwzWBhqaRw%3D%3D</t>
  </si>
  <si>
    <t>3,5mm audio jack</t>
  </si>
  <si>
    <t>weerstanden</t>
  </si>
  <si>
    <t>power switch</t>
  </si>
  <si>
    <t>audio switch</t>
  </si>
  <si>
    <t>UA78M33CKCSE3</t>
  </si>
  <si>
    <t>L7912ACV</t>
  </si>
  <si>
    <t>L7812CV</t>
  </si>
  <si>
    <t>L7805CV</t>
  </si>
  <si>
    <t>pin header</t>
  </si>
  <si>
    <t>Prijs (totaal)</t>
  </si>
  <si>
    <t>Mouser</t>
  </si>
  <si>
    <t>Farnell</t>
  </si>
  <si>
    <t>school</t>
  </si>
  <si>
    <t>potmeter</t>
  </si>
  <si>
    <t>condensator</t>
  </si>
  <si>
    <t>switch</t>
  </si>
  <si>
    <t>voltage regulator</t>
  </si>
  <si>
    <t>haeder</t>
  </si>
  <si>
    <t>KBU8B-E4/51</t>
  </si>
  <si>
    <t>BJT</t>
  </si>
  <si>
    <t>opamp</t>
  </si>
  <si>
    <t>mosfet</t>
  </si>
  <si>
    <t>DriveXChance prijs lijst</t>
  </si>
  <si>
    <t>100nF condensator</t>
  </si>
  <si>
    <t>audio jack</t>
  </si>
  <si>
    <t>https://nl.mouser.com/ProductDetail/Qualtek/701W-15-21?qs=hzq9O0YpnZsZdOnffw4akQ%3D%3D</t>
  </si>
  <si>
    <t>701W-15/21</t>
  </si>
  <si>
    <t>IEC-320 C-14 connector</t>
  </si>
  <si>
    <t>mouser</t>
  </si>
  <si>
    <t>Elco 330uF</t>
  </si>
  <si>
    <t xml:space="preserve">https://nl.mouser.com/ProductDetail/EPCOS-TDK/B41858C6337M000?qs=nadT%2FcWsIvA1sjqdj3l0sA%3D%3D </t>
  </si>
  <si>
    <t>https://nl.farnell.com/cliff-electronic-components/cp3261/slider-knob-cs1b-4mm-b-blk/dp/3762253</t>
  </si>
  <si>
    <t>Slider</t>
  </si>
  <si>
    <t>https://nl.mouser.com/ProductDetail/E-Switch/200MSP1T1B1M2QE?qs=f57gQzlyLirEcN5qw3HMNA%3D%3D</t>
  </si>
  <si>
    <t>220nF condensatoren</t>
  </si>
  <si>
    <t>330nF condensatoren</t>
  </si>
  <si>
    <t>1 Ohm Weerstand</t>
  </si>
  <si>
    <t>10 Ohm Weerstand</t>
  </si>
  <si>
    <t>22 Ohm Weerstand</t>
  </si>
  <si>
    <t>1k Ohm Weerstand</t>
  </si>
  <si>
    <t>2k2 Ohm Weerstand</t>
  </si>
  <si>
    <t>68k Ohm Weerstanden</t>
  </si>
  <si>
    <t>Totaal Prijs:</t>
  </si>
  <si>
    <t>https://nl.mouser.com/ProductDetail/Amphenol-Audio/ACJS-MV35-3?qs=t8%2F5FiDdxGZU3J8GgPv5Yw%3D%3D</t>
  </si>
  <si>
    <t>https://nl.farnell.com/te-connectivity/1634202-1/switch-rocker-spst-black/dp/1822036</t>
  </si>
  <si>
    <t>https://nl.farnell.com/amphenol-piher-sensorscontrols/pt15nv02-102a2020-s/trimmer-1k-0-25w-1turn/dp/4006855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</si>
</sst>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0" fontId="2" fillId="0" borderId="0" xfId="1" applyFill="1"/>
    <xf numFmtId="0" fontId="3" fillId="0" borderId="0" xfId="0" applyFont="1"/>
    <xf numFmtId="0" fontId="0" fillId="2" borderId="0" xfId="0" applyFill="1"/>
    <xf numFmtId="0" fontId="5" fillId="2" borderId="0" xfId="0" applyFont="1" applyFill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l.mouser.com/ProductDetail/Same-Sky/SJ-63053A?qs=hWgE7mdIu5Q5ZZx8mXk5JQ%3D%3D" TargetMode="External"/><Relationship Id="rId13" Type="http://schemas.openxmlformats.org/officeDocument/2006/relationships/hyperlink" Target="https://nl.farnell.com/te-connectivity/1634202-1/switch-rocker-spst-black/dp/1822036" TargetMode="External"/><Relationship Id="rId3" Type="http://schemas.openxmlformats.org/officeDocument/2006/relationships/hyperlink" Target="https://nl.mouser.com/ProductDetail/Texas-Instruments/TL072IP?qs=5BZzbFV4k2v7IBrcArRPQw%3D%3D" TargetMode="External"/><Relationship Id="rId7" Type="http://schemas.openxmlformats.org/officeDocument/2006/relationships/hyperlink" Target="https://nl.mouser.com/ProductDetail/Cornell-Dubilier-CDE/478CKE025MQV?qs=sGAEpiMZZMvwFf0viD3Y3TMnxRwPJuf7fEX1AI2NHlBR7bl6ACd0lw%3D%3D" TargetMode="External"/><Relationship Id="rId12" Type="http://schemas.openxmlformats.org/officeDocument/2006/relationships/hyperlink" Target="https://nl.mouser.com/ProductDetail/EPCOS-TDK/B41858C6337M000?qs=nadT%2FcWsIvA1sjqdj3l0sA%3D%3D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nl.mouser.com/ProductDetail/Infineon-Technologies/IRF9540NPBF?qs=9%252BKlkBgLFf0vnuA8mxUPtw%3D%3D" TargetMode="External"/><Relationship Id="rId16" Type="http://schemas.openxmlformats.org/officeDocument/2006/relationships/hyperlink" Target="https://nl.mouser.com/ProductDetail/E-Switch/200MSP1T1B1M2QE?qs=f57gQzlyLirEcN5qw3HMNA%3D%3D" TargetMode="External"/><Relationship Id="rId1" Type="http://schemas.openxmlformats.org/officeDocument/2006/relationships/hyperlink" Target="https://nl.mouser.com/ProductDetail/Infineon-Technologies/IRF540NPBF?qs=9%252BKlkBgLFf36us%252Bg5kwffA%3D%3D" TargetMode="External"/><Relationship Id="rId6" Type="http://schemas.openxmlformats.org/officeDocument/2006/relationships/hyperlink" Target="https://nl.mouser.com/ProductDetail/WIMA/MKS4C034702C00JSSD?qs=2G4irm%2FqADzbKabShRSisw%3D%3D" TargetMode="External"/><Relationship Id="rId11" Type="http://schemas.openxmlformats.org/officeDocument/2006/relationships/hyperlink" Target="https://nl.mouser.com/ProductDetail/Qualtek/701W-15-21?qs=hzq9O0YpnZsZdOnffw4akQ%3D%3D" TargetMode="External"/><Relationship Id="rId5" Type="http://schemas.openxmlformats.org/officeDocument/2006/relationships/hyperlink" Target="https://nl.mouser.com/ProductDetail/STMicroelectronics/BD140?qs=ljbEvF4DwOOQh3TFtIzRQQ%3D%3D" TargetMode="External"/><Relationship Id="rId15" Type="http://schemas.openxmlformats.org/officeDocument/2006/relationships/hyperlink" Target="https://nl.farnell.com/cliff-electronic-components/cp3261/slider-knob-cs1b-4mm-b-blk/dp/3762253" TargetMode="External"/><Relationship Id="rId10" Type="http://schemas.openxmlformats.org/officeDocument/2006/relationships/hyperlink" Target="https://nl.mouser.com/ProductDetail/Bourns/PTA6043-2015DPA103?qs=U%2FacTlguYxapXI1x524WqA%3D%3D" TargetMode="External"/><Relationship Id="rId4" Type="http://schemas.openxmlformats.org/officeDocument/2006/relationships/hyperlink" Target="https://nl.mouser.com/ProductDetail/STMicroelectronics/BD139?qs=ljbEvF4DwOPW%2FLxHSWYMMA%3D%3D" TargetMode="External"/><Relationship Id="rId9" Type="http://schemas.openxmlformats.org/officeDocument/2006/relationships/hyperlink" Target="https://nl.mouser.com/ProductDetail/Vishay-General-Semiconductor/KBU8B-E4-51?qs=NyKJzQ80QAygqwzWBhqaRw%3D%3D" TargetMode="External"/><Relationship Id="rId14" Type="http://schemas.openxmlformats.org/officeDocument/2006/relationships/hyperlink" Target="https://nl.farnell.com/amphenol-piher-sensorscontrols/pt15nv02-102a2020-s/trimmer-1k-0-25w-1turn/dp/40068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DF73B-2FFC-4DF5-9383-F45482531EBF}">
  <dimension ref="A3:G35"/>
  <sheetViews>
    <sheetView tabSelected="1" topLeftCell="A12" workbookViewId="0">
      <selection activeCell="A16" sqref="A16"/>
    </sheetView>
  </sheetViews>
  <sheetFormatPr defaultRowHeight="15" x14ac:dyDescent="0.25"/>
  <cols>
    <col min="1" max="1" width="21.85546875" customWidth="1"/>
    <col min="2" max="2" width="16.7109375" customWidth="1"/>
    <col min="3" max="3" width="20.140625" customWidth="1"/>
    <col min="4" max="4" width="19.140625" customWidth="1"/>
    <col min="5" max="5" width="18.7109375" customWidth="1"/>
    <col min="6" max="6" width="19.140625" customWidth="1"/>
  </cols>
  <sheetData>
    <row r="3" spans="1:7" x14ac:dyDescent="0.25">
      <c r="A3" s="1" t="s">
        <v>0</v>
      </c>
      <c r="C3" s="1"/>
      <c r="D3" s="1" t="s">
        <v>17</v>
      </c>
      <c r="E3" s="1" t="s">
        <v>15</v>
      </c>
      <c r="F3" s="1" t="s">
        <v>34</v>
      </c>
      <c r="G3" s="1" t="s">
        <v>3</v>
      </c>
    </row>
    <row r="4" spans="1:7" x14ac:dyDescent="0.25">
      <c r="A4" t="s">
        <v>7</v>
      </c>
      <c r="B4" t="s">
        <v>46</v>
      </c>
      <c r="C4" t="s">
        <v>35</v>
      </c>
      <c r="D4" s="5">
        <v>1</v>
      </c>
      <c r="E4">
        <v>1</v>
      </c>
      <c r="F4">
        <f t="shared" ref="F4:F10" si="0">E4*D4</f>
        <v>1</v>
      </c>
      <c r="G4" s="2" t="s">
        <v>4</v>
      </c>
    </row>
    <row r="5" spans="1:7" x14ac:dyDescent="0.25">
      <c r="A5" t="s">
        <v>8</v>
      </c>
      <c r="B5" t="s">
        <v>46</v>
      </c>
      <c r="C5" t="s">
        <v>35</v>
      </c>
      <c r="D5" s="5">
        <v>1</v>
      </c>
      <c r="E5">
        <v>1.26</v>
      </c>
      <c r="F5">
        <f t="shared" si="0"/>
        <v>1.26</v>
      </c>
      <c r="G5" s="2" t="s">
        <v>5</v>
      </c>
    </row>
    <row r="6" spans="1:7" x14ac:dyDescent="0.25">
      <c r="A6" t="s">
        <v>9</v>
      </c>
      <c r="B6" t="s">
        <v>45</v>
      </c>
      <c r="C6" t="s">
        <v>35</v>
      </c>
      <c r="D6" s="5">
        <v>1</v>
      </c>
      <c r="E6">
        <v>0.79</v>
      </c>
      <c r="F6">
        <f t="shared" si="0"/>
        <v>0.79</v>
      </c>
      <c r="G6" s="2" t="s">
        <v>6</v>
      </c>
    </row>
    <row r="7" spans="1:7" x14ac:dyDescent="0.25">
      <c r="A7" t="s">
        <v>1</v>
      </c>
      <c r="B7" s="4" t="s">
        <v>44</v>
      </c>
      <c r="C7" t="s">
        <v>35</v>
      </c>
      <c r="D7" s="5">
        <v>1</v>
      </c>
      <c r="E7">
        <v>0.4</v>
      </c>
      <c r="F7">
        <f t="shared" si="0"/>
        <v>0.4</v>
      </c>
      <c r="G7" s="2" t="s">
        <v>10</v>
      </c>
    </row>
    <row r="8" spans="1:7" x14ac:dyDescent="0.25">
      <c r="A8" t="s">
        <v>2</v>
      </c>
      <c r="B8" s="4" t="s">
        <v>44</v>
      </c>
      <c r="C8" t="s">
        <v>35</v>
      </c>
      <c r="D8" s="5">
        <v>1</v>
      </c>
      <c r="E8">
        <v>0.43</v>
      </c>
      <c r="F8">
        <f t="shared" si="0"/>
        <v>0.43</v>
      </c>
      <c r="G8" s="2" t="s">
        <v>11</v>
      </c>
    </row>
    <row r="9" spans="1:7" x14ac:dyDescent="0.25">
      <c r="A9" t="s">
        <v>12</v>
      </c>
      <c r="B9" t="s">
        <v>38</v>
      </c>
      <c r="C9" t="s">
        <v>37</v>
      </c>
      <c r="D9" s="6">
        <v>2</v>
      </c>
      <c r="E9">
        <v>1.0900000000000001</v>
      </c>
      <c r="F9">
        <f t="shared" si="0"/>
        <v>2.1800000000000002</v>
      </c>
      <c r="G9" s="2" t="s">
        <v>70</v>
      </c>
    </row>
    <row r="10" spans="1:7" x14ac:dyDescent="0.25">
      <c r="A10" t="s">
        <v>14</v>
      </c>
      <c r="B10" t="s">
        <v>38</v>
      </c>
      <c r="C10" t="s">
        <v>35</v>
      </c>
      <c r="D10" s="5">
        <v>1</v>
      </c>
      <c r="E10">
        <v>1.48</v>
      </c>
      <c r="F10">
        <f t="shared" si="0"/>
        <v>1.48</v>
      </c>
      <c r="G10" s="3" t="s">
        <v>16</v>
      </c>
    </row>
    <row r="11" spans="1:7" x14ac:dyDescent="0.25">
      <c r="A11" t="s">
        <v>57</v>
      </c>
      <c r="B11" t="s">
        <v>57</v>
      </c>
      <c r="C11" t="s">
        <v>36</v>
      </c>
      <c r="D11">
        <v>1</v>
      </c>
      <c r="E11">
        <v>0.54</v>
      </c>
      <c r="F11">
        <f>E11*D11</f>
        <v>0.54</v>
      </c>
      <c r="G11" s="3" t="s">
        <v>56</v>
      </c>
    </row>
    <row r="12" spans="1:7" x14ac:dyDescent="0.25">
      <c r="A12" t="s">
        <v>51</v>
      </c>
      <c r="B12" t="s">
        <v>52</v>
      </c>
      <c r="C12" t="s">
        <v>53</v>
      </c>
      <c r="D12" s="5">
        <v>1</v>
      </c>
      <c r="E12">
        <v>0.67900000000000005</v>
      </c>
      <c r="F12">
        <f t="shared" ref="F12:F34" si="1">E12*D12</f>
        <v>0.67900000000000005</v>
      </c>
      <c r="G12" s="3" t="s">
        <v>50</v>
      </c>
    </row>
    <row r="13" spans="1:7" x14ac:dyDescent="0.25">
      <c r="A13" t="s">
        <v>13</v>
      </c>
      <c r="B13" t="s">
        <v>39</v>
      </c>
      <c r="C13" t="s">
        <v>37</v>
      </c>
      <c r="D13" s="6">
        <v>4</v>
      </c>
      <c r="E13">
        <v>1.99</v>
      </c>
      <c r="F13">
        <f t="shared" si="1"/>
        <v>7.96</v>
      </c>
      <c r="G13" s="2" t="s">
        <v>20</v>
      </c>
    </row>
    <row r="14" spans="1:7" x14ac:dyDescent="0.25">
      <c r="A14" t="s">
        <v>19</v>
      </c>
      <c r="B14" t="s">
        <v>39</v>
      </c>
      <c r="C14" t="s">
        <v>35</v>
      </c>
      <c r="D14" s="5">
        <v>1</v>
      </c>
      <c r="E14">
        <v>0.8</v>
      </c>
      <c r="F14">
        <f t="shared" si="1"/>
        <v>0.8</v>
      </c>
      <c r="G14" s="2" t="s">
        <v>18</v>
      </c>
    </row>
    <row r="15" spans="1:7" x14ac:dyDescent="0.25">
      <c r="A15" t="s">
        <v>21</v>
      </c>
      <c r="B15" t="s">
        <v>49</v>
      </c>
      <c r="C15" t="s">
        <v>35</v>
      </c>
      <c r="D15" s="5">
        <v>1</v>
      </c>
      <c r="E15">
        <v>2.63</v>
      </c>
      <c r="F15">
        <f t="shared" si="1"/>
        <v>2.63</v>
      </c>
      <c r="G15" s="2" t="s">
        <v>22</v>
      </c>
    </row>
    <row r="16" spans="1:7" x14ac:dyDescent="0.25">
      <c r="A16" t="s">
        <v>43</v>
      </c>
      <c r="B16" t="s">
        <v>23</v>
      </c>
      <c r="C16" t="s">
        <v>35</v>
      </c>
      <c r="D16" s="5">
        <v>1</v>
      </c>
      <c r="E16">
        <v>3.3</v>
      </c>
      <c r="F16">
        <f t="shared" si="1"/>
        <v>3.3</v>
      </c>
      <c r="G16" s="2" t="s">
        <v>24</v>
      </c>
    </row>
    <row r="17" spans="1:7" x14ac:dyDescent="0.25">
      <c r="A17" t="s">
        <v>25</v>
      </c>
      <c r="B17" t="s">
        <v>49</v>
      </c>
      <c r="C17" t="s">
        <v>35</v>
      </c>
      <c r="D17" s="5">
        <v>2</v>
      </c>
      <c r="E17">
        <v>1.29</v>
      </c>
      <c r="F17">
        <f t="shared" si="1"/>
        <v>2.58</v>
      </c>
      <c r="G17" s="2" t="s">
        <v>68</v>
      </c>
    </row>
    <row r="18" spans="1:7" x14ac:dyDescent="0.25">
      <c r="A18" t="s">
        <v>54</v>
      </c>
      <c r="B18" t="s">
        <v>39</v>
      </c>
      <c r="C18" t="s">
        <v>35</v>
      </c>
      <c r="D18" s="5">
        <v>2</v>
      </c>
      <c r="E18">
        <v>0.8</v>
      </c>
      <c r="F18">
        <f t="shared" si="1"/>
        <v>1.6</v>
      </c>
      <c r="G18" s="2" t="s">
        <v>55</v>
      </c>
    </row>
    <row r="19" spans="1:7" x14ac:dyDescent="0.25">
      <c r="A19" t="s">
        <v>60</v>
      </c>
      <c r="B19" t="s">
        <v>39</v>
      </c>
      <c r="C19" t="s">
        <v>37</v>
      </c>
      <c r="D19" s="6">
        <v>1</v>
      </c>
      <c r="E19">
        <v>0.25</v>
      </c>
      <c r="F19">
        <f t="shared" ref="F19" si="2">E19*D19</f>
        <v>0.25</v>
      </c>
      <c r="G19" s="2" t="s">
        <v>47</v>
      </c>
    </row>
    <row r="20" spans="1:7" x14ac:dyDescent="0.25">
      <c r="A20" t="s">
        <v>59</v>
      </c>
      <c r="B20" t="s">
        <v>39</v>
      </c>
      <c r="C20" t="s">
        <v>37</v>
      </c>
      <c r="D20" s="6">
        <v>3</v>
      </c>
      <c r="E20">
        <v>0.25</v>
      </c>
      <c r="F20">
        <f t="shared" si="1"/>
        <v>0.75</v>
      </c>
      <c r="G20" s="2" t="s">
        <v>47</v>
      </c>
    </row>
    <row r="21" spans="1:7" x14ac:dyDescent="0.25">
      <c r="A21" t="s">
        <v>48</v>
      </c>
      <c r="B21" t="s">
        <v>39</v>
      </c>
      <c r="C21" t="s">
        <v>37</v>
      </c>
      <c r="D21" s="6">
        <v>9</v>
      </c>
      <c r="E21">
        <v>0.25</v>
      </c>
      <c r="F21">
        <f t="shared" si="1"/>
        <v>2.25</v>
      </c>
      <c r="G21" t="s">
        <v>47</v>
      </c>
    </row>
    <row r="22" spans="1:7" x14ac:dyDescent="0.25">
      <c r="A22" t="s">
        <v>61</v>
      </c>
      <c r="B22" t="s">
        <v>26</v>
      </c>
      <c r="C22" t="s">
        <v>37</v>
      </c>
      <c r="D22" s="6">
        <v>3</v>
      </c>
      <c r="E22">
        <v>0.1</v>
      </c>
      <c r="F22">
        <f t="shared" ref="F22:F26" si="3">E22*D22</f>
        <v>0.30000000000000004</v>
      </c>
      <c r="G22" t="s">
        <v>47</v>
      </c>
    </row>
    <row r="23" spans="1:7" x14ac:dyDescent="0.25">
      <c r="A23" t="s">
        <v>62</v>
      </c>
      <c r="B23" t="s">
        <v>26</v>
      </c>
      <c r="C23" t="s">
        <v>37</v>
      </c>
      <c r="D23" s="6">
        <v>1</v>
      </c>
      <c r="E23">
        <v>0.1</v>
      </c>
      <c r="F23">
        <f t="shared" si="3"/>
        <v>0.1</v>
      </c>
      <c r="G23" t="s">
        <v>47</v>
      </c>
    </row>
    <row r="24" spans="1:7" x14ac:dyDescent="0.25">
      <c r="A24" t="s">
        <v>63</v>
      </c>
      <c r="B24" t="s">
        <v>26</v>
      </c>
      <c r="C24" t="s">
        <v>37</v>
      </c>
      <c r="D24" s="6">
        <v>1</v>
      </c>
      <c r="E24">
        <v>0.1</v>
      </c>
      <c r="F24">
        <f t="shared" si="3"/>
        <v>0.1</v>
      </c>
      <c r="G24" t="s">
        <v>47</v>
      </c>
    </row>
    <row r="25" spans="1:7" x14ac:dyDescent="0.25">
      <c r="A25" t="s">
        <v>64</v>
      </c>
      <c r="B25" t="s">
        <v>26</v>
      </c>
      <c r="C25" t="s">
        <v>37</v>
      </c>
      <c r="D25" s="6">
        <v>1</v>
      </c>
      <c r="E25">
        <v>0.1</v>
      </c>
      <c r="F25">
        <f t="shared" si="3"/>
        <v>0.1</v>
      </c>
      <c r="G25" t="s">
        <v>47</v>
      </c>
    </row>
    <row r="26" spans="1:7" x14ac:dyDescent="0.25">
      <c r="A26" t="s">
        <v>65</v>
      </c>
      <c r="B26" t="s">
        <v>26</v>
      </c>
      <c r="C26" t="s">
        <v>37</v>
      </c>
      <c r="D26" s="6">
        <v>3</v>
      </c>
      <c r="E26">
        <v>0.1</v>
      </c>
      <c r="F26">
        <f t="shared" si="3"/>
        <v>0.30000000000000004</v>
      </c>
      <c r="G26" t="s">
        <v>47</v>
      </c>
    </row>
    <row r="27" spans="1:7" x14ac:dyDescent="0.25">
      <c r="A27" t="s">
        <v>66</v>
      </c>
      <c r="B27" t="s">
        <v>26</v>
      </c>
      <c r="C27" t="s">
        <v>37</v>
      </c>
      <c r="D27" s="6">
        <v>1</v>
      </c>
      <c r="E27">
        <v>0.1</v>
      </c>
      <c r="F27">
        <f t="shared" si="1"/>
        <v>0.1</v>
      </c>
      <c r="G27" t="s">
        <v>47</v>
      </c>
    </row>
    <row r="28" spans="1:7" x14ac:dyDescent="0.25">
      <c r="A28" t="s">
        <v>33</v>
      </c>
      <c r="B28" t="s">
        <v>42</v>
      </c>
      <c r="C28" t="s">
        <v>37</v>
      </c>
      <c r="D28" s="6">
        <v>2</v>
      </c>
      <c r="E28">
        <v>0.5</v>
      </c>
      <c r="F28">
        <f t="shared" si="1"/>
        <v>1</v>
      </c>
      <c r="G28" t="s">
        <v>47</v>
      </c>
    </row>
    <row r="29" spans="1:7" x14ac:dyDescent="0.25">
      <c r="A29" t="s">
        <v>27</v>
      </c>
      <c r="B29" t="s">
        <v>40</v>
      </c>
      <c r="C29" t="s">
        <v>37</v>
      </c>
      <c r="D29" s="6">
        <v>1</v>
      </c>
      <c r="E29">
        <v>1.43</v>
      </c>
      <c r="F29">
        <f t="shared" si="1"/>
        <v>1.43</v>
      </c>
      <c r="G29" s="2" t="s">
        <v>69</v>
      </c>
    </row>
    <row r="30" spans="1:7" x14ac:dyDescent="0.25">
      <c r="A30" t="s">
        <v>28</v>
      </c>
      <c r="B30" t="s">
        <v>40</v>
      </c>
      <c r="C30" t="s">
        <v>35</v>
      </c>
      <c r="D30" s="5">
        <v>1</v>
      </c>
      <c r="E30">
        <v>2.66</v>
      </c>
      <c r="F30">
        <f t="shared" si="1"/>
        <v>2.66</v>
      </c>
      <c r="G30" s="2" t="s">
        <v>58</v>
      </c>
    </row>
    <row r="31" spans="1:7" x14ac:dyDescent="0.25">
      <c r="A31" t="s">
        <v>30</v>
      </c>
      <c r="B31" t="s">
        <v>41</v>
      </c>
      <c r="C31" t="s">
        <v>37</v>
      </c>
      <c r="D31" s="6">
        <v>1</v>
      </c>
      <c r="E31">
        <v>1</v>
      </c>
      <c r="F31">
        <f t="shared" si="1"/>
        <v>1</v>
      </c>
      <c r="G31" t="s">
        <v>47</v>
      </c>
    </row>
    <row r="32" spans="1:7" x14ac:dyDescent="0.25">
      <c r="A32" t="s">
        <v>31</v>
      </c>
      <c r="B32" t="s">
        <v>41</v>
      </c>
      <c r="C32" t="s">
        <v>37</v>
      </c>
      <c r="D32" s="6">
        <v>1</v>
      </c>
      <c r="E32">
        <v>1</v>
      </c>
      <c r="F32">
        <f t="shared" si="1"/>
        <v>1</v>
      </c>
      <c r="G32" t="s">
        <v>47</v>
      </c>
    </row>
    <row r="33" spans="1:7" x14ac:dyDescent="0.25">
      <c r="A33" t="s">
        <v>32</v>
      </c>
      <c r="B33" t="s">
        <v>41</v>
      </c>
      <c r="C33" t="s">
        <v>37</v>
      </c>
      <c r="D33" s="6">
        <v>1</v>
      </c>
      <c r="E33">
        <v>1</v>
      </c>
      <c r="F33">
        <f t="shared" si="1"/>
        <v>1</v>
      </c>
      <c r="G33" t="s">
        <v>47</v>
      </c>
    </row>
    <row r="34" spans="1:7" x14ac:dyDescent="0.25">
      <c r="A34" t="s">
        <v>29</v>
      </c>
      <c r="B34" t="s">
        <v>41</v>
      </c>
      <c r="C34" t="s">
        <v>37</v>
      </c>
      <c r="D34" s="6">
        <v>1</v>
      </c>
      <c r="E34">
        <v>1</v>
      </c>
      <c r="F34">
        <f t="shared" si="1"/>
        <v>1</v>
      </c>
      <c r="G34" t="s">
        <v>47</v>
      </c>
    </row>
    <row r="35" spans="1:7" x14ac:dyDescent="0.25">
      <c r="E35" t="s">
        <v>67</v>
      </c>
      <c r="F35">
        <f>SUM(F4:F34)</f>
        <v>40.969000000000008</v>
      </c>
    </row>
  </sheetData>
  <autoFilter ref="C3:C35" xr:uid="{ADEDF73B-2FFC-4DF5-9383-F45482531EBF}"/>
  <phoneticPr fontId="4" type="noConversion"/>
  <hyperlinks>
    <hyperlink ref="G4" r:id="rId1" xr:uid="{169E91F2-D6AA-41E9-AFD1-E7DCAD0D2AD5}"/>
    <hyperlink ref="G5" r:id="rId2" xr:uid="{AD119EF1-2638-4CFC-9D71-FF545CBA284F}"/>
    <hyperlink ref="G6" r:id="rId3" xr:uid="{E1D79E53-6F9E-4156-8723-D49FDCCEFC0C}"/>
    <hyperlink ref="G7" r:id="rId4" xr:uid="{EC4808C7-2CC9-49A3-8BB1-405B3DDC6432}"/>
    <hyperlink ref="G8" r:id="rId5" xr:uid="{ED120163-4CB5-48CC-B9FA-26154CA34A65}"/>
    <hyperlink ref="G14" r:id="rId6" xr:uid="{A58BCED2-DB2B-474A-A743-839B23FF9BF6}"/>
    <hyperlink ref="G13" r:id="rId7" xr:uid="{D544703F-806C-4091-ABF0-9736DA99B2D3}"/>
    <hyperlink ref="G15" r:id="rId8" xr:uid="{B835F069-41A1-496D-91E0-1442B10424DF}"/>
    <hyperlink ref="G16" r:id="rId9" xr:uid="{1A3D596A-42A7-4417-A532-823F5744DB38}"/>
    <hyperlink ref="G10" r:id="rId10" xr:uid="{650F7928-35F0-4B96-A2B3-BCCE79D5B85C}"/>
    <hyperlink ref="G12" r:id="rId11" xr:uid="{E29035D4-8BF0-42A9-8FB2-ADEB228C8BD8}"/>
    <hyperlink ref="G18" r:id="rId12" xr:uid="{9EA8BF42-9619-4E00-9121-3E867ED896F3}"/>
    <hyperlink ref="G29" r:id="rId13" xr:uid="{B7F2F5E7-6D8E-4ED5-BC66-ACA302FAA11F}"/>
    <hyperlink ref="G9" r:id="rId14" xr:uid="{4630004F-FB68-493F-BB7F-D915A2A823DF}"/>
    <hyperlink ref="G11" r:id="rId15" xr:uid="{63BC7CF0-733A-46A1-9D56-65F8925A5CE2}"/>
    <hyperlink ref="G30" r:id="rId16" xr:uid="{6C52A119-A2B3-42D1-B7DE-4E0DC3F9DF80}"/>
  </hyperlinks>
  <pageMargins left="0.7" right="0.7" top="0.75" bottom="0.75" header="0.3" footer="0.3"/>
  <pageSetup paperSize="9"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Jeroen Middel (student)</dc:creator>
  <cp:lastModifiedBy>Matthijs Vos (student)</cp:lastModifiedBy>
  <dcterms:created xsi:type="dcterms:W3CDTF">2024-10-17T10:24:24Z</dcterms:created>
  <dcterms:modified xsi:type="dcterms:W3CDTF">2025-01-17T16:42:03Z</dcterms:modified>
</cp:coreProperties>
</file>