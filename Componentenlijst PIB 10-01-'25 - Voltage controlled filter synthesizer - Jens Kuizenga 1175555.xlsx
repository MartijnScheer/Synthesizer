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k\Desktop\PIB\"/>
    </mc:Choice>
  </mc:AlternateContent>
  <xr:revisionPtr revIDLastSave="0" documentId="8_{9827EDE1-39D6-435A-8BA7-325B7D7E6386}" xr6:coauthVersionLast="47" xr6:coauthVersionMax="47" xr10:uidLastSave="{00000000-0000-0000-0000-000000000000}"/>
  <bookViews>
    <workbookView xWindow="-108" yWindow="-108" windowWidth="23256" windowHeight="12456" xr2:uid="{A4E84F6D-9D6C-4342-BA06-FC32119CDB1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18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<sst xmlns="http://schemas.openxmlformats.org/spreadsheetml/2006/main" count="90" uniqueCount="55">
  <si>
    <t>Component</t>
  </si>
  <si>
    <t>Montage type</t>
  </si>
  <si>
    <t>Webwinkel</t>
  </si>
  <si>
    <t>url</t>
  </si>
  <si>
    <t xml:space="preserve">Aantal </t>
  </si>
  <si>
    <t>Potmeter 10k mono</t>
  </si>
  <si>
    <t>Potmeter 10k stereo</t>
  </si>
  <si>
    <t>THT</t>
  </si>
  <si>
    <t xml:space="preserve">THT </t>
  </si>
  <si>
    <t>Opmerking</t>
  </si>
  <si>
    <t>Mouser</t>
  </si>
  <si>
    <t>https://nl.mouser.com/ProductDetail/Bourns/PDB181-E420K-103A2?qs=HVbQlW5zcXWC17G23A3FYg%3D%3D</t>
  </si>
  <si>
    <t>https://nl.mouser.com/ProductDetail/Bourns/PDB182-E425K-103A?qs=gZXFycFWdAMnVbjl2yp9gQ%3D%3D</t>
  </si>
  <si>
    <t>Audio jack in - output</t>
  </si>
  <si>
    <t>Prijs per stuk</t>
  </si>
  <si>
    <t>Prijs totaal</t>
  </si>
  <si>
    <t>https://nl.mouser.com/ProductDetail/Amphenol-Audio/ACJS-MV35-3?qs=t8%2F5FiDdxGZU3J8GgPv5Yw%3D%3D</t>
  </si>
  <si>
    <t>https://nl.mouser.com/ProductDetail/Texas-Instruments/TL072HIDR?qs=sGAEpiMZZMutXGli8Ay4kBeMXGoF0H9HuAzwYvvuWt4%3D</t>
  </si>
  <si>
    <t>TL072H Op Amp</t>
  </si>
  <si>
    <t>SMD</t>
  </si>
  <si>
    <t>https://nl.mouser.com/ProductDetail/Diotec-Semiconductor/BAV99?qs=OlC7AqGiEDlmuhCokzYmxg%3D%3D</t>
  </si>
  <si>
    <t>BAV 99</t>
  </si>
  <si>
    <t>Condensator 1uF</t>
  </si>
  <si>
    <t>Farnell</t>
  </si>
  <si>
    <t>Minimale afname = 10stuks</t>
  </si>
  <si>
    <t>Condensator 1nF</t>
  </si>
  <si>
    <t>https://nl.farnell.com/kemet/r82ec1100dq50j/cap-1000pf-100v-5-pet-radial/dp/2429343</t>
  </si>
  <si>
    <t>https://nl.farnell.com/kemet/r82dc4100aa60k/cap-1-f-63v-10-pet-radial/dp/2763215</t>
  </si>
  <si>
    <t>1N4148</t>
  </si>
  <si>
    <t>Werkplaats</t>
  </si>
  <si>
    <r>
      <t>Weerstand 330</t>
    </r>
    <r>
      <rPr>
        <sz val="11"/>
        <color theme="1"/>
        <rFont val="Aptos Narrow"/>
        <family val="2"/>
      </rPr>
      <t>Ω</t>
    </r>
  </si>
  <si>
    <r>
      <t>Weerstand 1k</t>
    </r>
    <r>
      <rPr>
        <sz val="11"/>
        <color theme="1"/>
        <rFont val="Aptos Narrow"/>
        <family val="2"/>
      </rPr>
      <t>Ω</t>
    </r>
  </si>
  <si>
    <t>Weerstand 10kΩ</t>
  </si>
  <si>
    <t>Weerstand 12kΩ</t>
  </si>
  <si>
    <t>Weerstand 18kΩ</t>
  </si>
  <si>
    <t>Weerstand 100kΩ</t>
  </si>
  <si>
    <t>Weerstand 2,2kΩ</t>
  </si>
  <si>
    <t>2k in ontwerp</t>
  </si>
  <si>
    <t>200k in ontwerp</t>
  </si>
  <si>
    <t>JST connector</t>
  </si>
  <si>
    <t>Interface component</t>
  </si>
  <si>
    <t>Prijs van Mouser</t>
  </si>
  <si>
    <t>Weerstand 220kΩ</t>
  </si>
  <si>
    <t>https://nl.mouser.com/ProductDetail/JST-Commercial/BM03B-PASS-TFLFSN?qs=QpmGXVUTftG0jznDmAO4hg%3D%3D</t>
  </si>
  <si>
    <t>Totaal</t>
  </si>
  <si>
    <t>Prijs weerstanden en kabels/draden nog niet inbegrepen</t>
  </si>
  <si>
    <t>Voor kabel -&gt; PCB aansluiting interface componenten</t>
  </si>
  <si>
    <t>Condensator 100nF</t>
  </si>
  <si>
    <t>JST connector (Insert)</t>
  </si>
  <si>
    <t>x</t>
  </si>
  <si>
    <t>Gaat in PCB connector</t>
  </si>
  <si>
    <t>https://nl.mouser.com/ProductDetail/JST-Commercial/PAP-03V-S?qs=sGAEpiMZZMvlX3nhDDO4AHguVQqtVxvAM8RW79t%252B1bk%3D</t>
  </si>
  <si>
    <t>JST connector (Pins)</t>
  </si>
  <si>
    <t>Crimp</t>
  </si>
  <si>
    <t>https://nl.mouser.com/ProductDetail/JST-Commercial/SPHD-001T-P0.5?qs=sGAEpiMZZMvlX3nhDDO4AHguVQqtVxvAZnn8aQ8aWkA%3D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</si>
</sst>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 &quot;€&quot;\ * #,##0.000_ ;_ &quot;€&quot;\ * \-#,##0.000_ ;_ &quot;€&quot;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0" xfId="2"/>
  </cellXfs>
  <cellStyles count="3">
    <cellStyle name="Hyperlink" xfId="2" builtinId="8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l.mouser.com/ProductDetail/JST-Commercial/SPHD-001T-P0.5?qs=sGAEpiMZZMvlX3nhDDO4AHguVQqtVxvAZnn8aQ8aWkA%3D" TargetMode="External"/><Relationship Id="rId1" Type="http://schemas.openxmlformats.org/officeDocument/2006/relationships/hyperlink" Target="https://nl.mouser.com/ProductDetail/JST-Commercial/PAP-03V-S?qs=sGAEpiMZZMvlX3nhDDO4AHguVQqtVxvAM8RW79t%252B1bk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F64E-7365-44DE-9DE1-CE2819A44C23}">
  <dimension ref="A1:H34"/>
  <sheetViews>
    <sheetView tabSelected="1" topLeftCell="E1" workbookViewId="0">
      <selection activeCell="E23" sqref="E23"/>
    </sheetView>
  </sheetViews>
  <sheetFormatPr defaultRowHeight="14.4" x14ac:dyDescent="0.3"/>
  <cols>
    <col min="1" max="1" width="20.77734375" bestFit="1" customWidth="1"/>
    <col min="2" max="2" width="11.5546875" bestFit="1" customWidth="1"/>
    <col min="3" max="3" width="10.109375" bestFit="1" customWidth="1"/>
    <col min="4" max="4" width="6.44140625" bestFit="1" customWidth="1"/>
    <col min="5" max="5" width="11.21875" bestFit="1" customWidth="1"/>
    <col min="6" max="6" width="11.21875" customWidth="1"/>
    <col min="7" max="7" width="46.21875" bestFit="1" customWidth="1"/>
    <col min="8" max="8" width="10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14</v>
      </c>
      <c r="F1" s="1" t="s">
        <v>15</v>
      </c>
      <c r="G1" s="1" t="s">
        <v>9</v>
      </c>
      <c r="H1" t="s">
        <v>3</v>
      </c>
    </row>
    <row r="2" spans="1:8" x14ac:dyDescent="0.3">
      <c r="A2" s="1" t="s">
        <v>5</v>
      </c>
      <c r="B2" s="1" t="s">
        <v>7</v>
      </c>
      <c r="C2" s="1" t="s">
        <v>10</v>
      </c>
      <c r="D2" s="1">
        <v>1</v>
      </c>
      <c r="E2" s="1">
        <v>1.19</v>
      </c>
      <c r="F2" s="1">
        <f t="shared" ref="F2:F9" si="0">SUM(D2*E2)</f>
        <v>1.19</v>
      </c>
      <c r="G2" s="1" t="s">
        <v>40</v>
      </c>
      <c r="H2" t="s">
        <v>11</v>
      </c>
    </row>
    <row r="3" spans="1:8" x14ac:dyDescent="0.3">
      <c r="A3" s="1" t="s">
        <v>6</v>
      </c>
      <c r="B3" s="1" t="s">
        <v>8</v>
      </c>
      <c r="C3" s="1" t="s">
        <v>10</v>
      </c>
      <c r="D3" s="1">
        <v>1</v>
      </c>
      <c r="E3" s="1">
        <v>2.2200000000000002</v>
      </c>
      <c r="F3" s="1">
        <f t="shared" si="0"/>
        <v>2.2200000000000002</v>
      </c>
      <c r="G3" s="1" t="s">
        <v>40</v>
      </c>
      <c r="H3" t="s">
        <v>12</v>
      </c>
    </row>
    <row r="4" spans="1:8" x14ac:dyDescent="0.3">
      <c r="A4" s="1" t="s">
        <v>13</v>
      </c>
      <c r="B4" s="1" t="s">
        <v>7</v>
      </c>
      <c r="C4" s="1" t="s">
        <v>10</v>
      </c>
      <c r="D4" s="1">
        <v>5</v>
      </c>
      <c r="E4" s="1">
        <v>1.34</v>
      </c>
      <c r="F4" s="1">
        <f t="shared" si="0"/>
        <v>6.7</v>
      </c>
      <c r="G4" s="1" t="s">
        <v>40</v>
      </c>
      <c r="H4" t="s">
        <v>16</v>
      </c>
    </row>
    <row r="5" spans="1:8" x14ac:dyDescent="0.3">
      <c r="A5" s="1" t="s">
        <v>18</v>
      </c>
      <c r="B5" s="1" t="s">
        <v>19</v>
      </c>
      <c r="C5" s="1" t="s">
        <v>10</v>
      </c>
      <c r="D5" s="1">
        <v>4</v>
      </c>
      <c r="E5" s="1">
        <v>0.214</v>
      </c>
      <c r="F5" s="1">
        <f t="shared" si="0"/>
        <v>0.85599999999999998</v>
      </c>
      <c r="G5" s="1"/>
      <c r="H5" t="s">
        <v>17</v>
      </c>
    </row>
    <row r="6" spans="1:8" x14ac:dyDescent="0.3">
      <c r="A6" s="1" t="s">
        <v>21</v>
      </c>
      <c r="B6" s="1" t="s">
        <v>19</v>
      </c>
      <c r="C6" s="1" t="s">
        <v>10</v>
      </c>
      <c r="D6" s="1">
        <v>3</v>
      </c>
      <c r="E6" s="1">
        <v>9.2999999999999999E-2</v>
      </c>
      <c r="F6" s="1">
        <f t="shared" si="0"/>
        <v>0.27900000000000003</v>
      </c>
      <c r="G6" s="1"/>
      <c r="H6" t="s">
        <v>20</v>
      </c>
    </row>
    <row r="7" spans="1:8" x14ac:dyDescent="0.3">
      <c r="A7" s="1" t="s">
        <v>22</v>
      </c>
      <c r="B7" s="1" t="s">
        <v>7</v>
      </c>
      <c r="C7" s="1" t="s">
        <v>23</v>
      </c>
      <c r="D7" s="1">
        <v>10</v>
      </c>
      <c r="E7" s="1">
        <v>0.23300000000000001</v>
      </c>
      <c r="F7" s="1">
        <f t="shared" si="0"/>
        <v>2.33</v>
      </c>
      <c r="G7" s="1" t="s">
        <v>24</v>
      </c>
      <c r="H7" t="s">
        <v>27</v>
      </c>
    </row>
    <row r="8" spans="1:8" x14ac:dyDescent="0.3">
      <c r="A8" s="1" t="s">
        <v>25</v>
      </c>
      <c r="B8" s="1" t="s">
        <v>7</v>
      </c>
      <c r="C8" s="1" t="s">
        <v>23</v>
      </c>
      <c r="D8" s="1">
        <v>10</v>
      </c>
      <c r="E8" s="1">
        <v>0.151</v>
      </c>
      <c r="F8" s="1">
        <f t="shared" si="0"/>
        <v>1.51</v>
      </c>
      <c r="G8" s="1" t="s">
        <v>24</v>
      </c>
      <c r="H8" t="s">
        <v>26</v>
      </c>
    </row>
    <row r="9" spans="1:8" x14ac:dyDescent="0.3">
      <c r="A9" s="1" t="s">
        <v>28</v>
      </c>
      <c r="B9" s="1" t="s">
        <v>19</v>
      </c>
      <c r="C9" s="1" t="s">
        <v>29</v>
      </c>
      <c r="D9" s="1">
        <v>3</v>
      </c>
      <c r="E9" s="1">
        <v>9.2999999999999999E-2</v>
      </c>
      <c r="F9" s="1">
        <f t="shared" si="0"/>
        <v>0.27900000000000003</v>
      </c>
      <c r="G9" s="1" t="s">
        <v>41</v>
      </c>
    </row>
    <row r="10" spans="1:8" x14ac:dyDescent="0.3">
      <c r="A10" s="1" t="s">
        <v>30</v>
      </c>
      <c r="B10" s="1" t="s">
        <v>19</v>
      </c>
      <c r="C10" s="1" t="s">
        <v>29</v>
      </c>
      <c r="D10" s="1">
        <v>1</v>
      </c>
      <c r="E10" s="1"/>
      <c r="F10" s="1"/>
      <c r="G10" s="1"/>
    </row>
    <row r="11" spans="1:8" x14ac:dyDescent="0.3">
      <c r="A11" s="1" t="s">
        <v>31</v>
      </c>
      <c r="B11" s="1" t="s">
        <v>19</v>
      </c>
      <c r="C11" s="1" t="s">
        <v>29</v>
      </c>
      <c r="D11" s="1">
        <v>1</v>
      </c>
      <c r="E11" s="1"/>
      <c r="F11" s="1"/>
      <c r="G11" s="1"/>
    </row>
    <row r="12" spans="1:8" x14ac:dyDescent="0.3">
      <c r="A12" s="1" t="s">
        <v>36</v>
      </c>
      <c r="B12" s="1" t="s">
        <v>19</v>
      </c>
      <c r="C12" s="1" t="s">
        <v>29</v>
      </c>
      <c r="D12" s="1">
        <v>2</v>
      </c>
      <c r="E12" s="1"/>
      <c r="F12" s="1"/>
      <c r="G12" s="1" t="s">
        <v>37</v>
      </c>
    </row>
    <row r="13" spans="1:8" x14ac:dyDescent="0.3">
      <c r="A13" s="1" t="s">
        <v>32</v>
      </c>
      <c r="B13" s="1" t="s">
        <v>19</v>
      </c>
      <c r="C13" s="1" t="s">
        <v>29</v>
      </c>
      <c r="D13" s="1">
        <v>3</v>
      </c>
      <c r="E13" s="1"/>
      <c r="F13" s="1"/>
      <c r="G13" s="1"/>
    </row>
    <row r="14" spans="1:8" x14ac:dyDescent="0.3">
      <c r="A14" s="1" t="s">
        <v>33</v>
      </c>
      <c r="B14" s="1" t="s">
        <v>19</v>
      </c>
      <c r="C14" s="1" t="s">
        <v>29</v>
      </c>
      <c r="D14" s="1">
        <v>1</v>
      </c>
      <c r="E14" s="1"/>
      <c r="F14" s="1"/>
      <c r="G14" s="1"/>
    </row>
    <row r="15" spans="1:8" x14ac:dyDescent="0.3">
      <c r="A15" s="1" t="s">
        <v>34</v>
      </c>
      <c r="B15" s="1" t="s">
        <v>19</v>
      </c>
      <c r="C15" s="1" t="s">
        <v>29</v>
      </c>
      <c r="D15" s="1">
        <v>1</v>
      </c>
      <c r="E15" s="1"/>
      <c r="F15" s="1"/>
      <c r="G15" s="1"/>
    </row>
    <row r="16" spans="1:8" x14ac:dyDescent="0.3">
      <c r="A16" s="1" t="s">
        <v>35</v>
      </c>
      <c r="B16" s="1" t="s">
        <v>19</v>
      </c>
      <c r="C16" s="1" t="s">
        <v>29</v>
      </c>
      <c r="D16" s="1">
        <v>9</v>
      </c>
      <c r="E16" s="1"/>
      <c r="F16" s="1"/>
      <c r="G16" s="1"/>
    </row>
    <row r="17" spans="1:8" x14ac:dyDescent="0.3">
      <c r="A17" s="1" t="s">
        <v>42</v>
      </c>
      <c r="B17" s="1" t="s">
        <v>19</v>
      </c>
      <c r="C17" s="1" t="s">
        <v>29</v>
      </c>
      <c r="D17" s="1">
        <v>1</v>
      </c>
      <c r="E17" s="1"/>
      <c r="F17" s="1"/>
      <c r="G17" s="1" t="s">
        <v>38</v>
      </c>
    </row>
    <row r="18" spans="1:8" x14ac:dyDescent="0.3">
      <c r="A18" s="1" t="s">
        <v>39</v>
      </c>
      <c r="B18" s="1" t="s">
        <v>7</v>
      </c>
      <c r="C18" s="1" t="s">
        <v>10</v>
      </c>
      <c r="D18" s="1">
        <v>8</v>
      </c>
      <c r="E18" s="1">
        <v>0.623</v>
      </c>
      <c r="F18" s="1">
        <f>SUM(D18*E18)</f>
        <v>4.984</v>
      </c>
      <c r="G18" s="1" t="s">
        <v>46</v>
      </c>
      <c r="H18" t="s">
        <v>43</v>
      </c>
    </row>
    <row r="19" spans="1:8" x14ac:dyDescent="0.3">
      <c r="A19" s="1" t="s">
        <v>47</v>
      </c>
      <c r="B19" s="1" t="s">
        <v>19</v>
      </c>
      <c r="C19" s="1" t="s">
        <v>29</v>
      </c>
      <c r="D19" s="1">
        <v>8</v>
      </c>
      <c r="E19" s="1"/>
      <c r="F19" s="1"/>
      <c r="G19" s="1"/>
    </row>
    <row r="20" spans="1:8" x14ac:dyDescent="0.3">
      <c r="A20" s="1" t="s">
        <v>48</v>
      </c>
      <c r="B20" s="1" t="s">
        <v>49</v>
      </c>
      <c r="C20" s="1" t="s">
        <v>10</v>
      </c>
      <c r="D20" s="1">
        <v>8</v>
      </c>
      <c r="E20" s="3">
        <v>0.14899999999999999</v>
      </c>
      <c r="F20" s="4">
        <v>1.1919999999999999</v>
      </c>
      <c r="G20" s="1" t="s">
        <v>50</v>
      </c>
      <c r="H20" s="5" t="s">
        <v>51</v>
      </c>
    </row>
    <row r="21" spans="1:8" x14ac:dyDescent="0.3">
      <c r="A21" s="1" t="s">
        <v>52</v>
      </c>
      <c r="B21" s="1" t="s">
        <v>53</v>
      </c>
      <c r="C21" s="1" t="s">
        <v>10</v>
      </c>
      <c r="D21" s="1">
        <v>24</v>
      </c>
      <c r="E21" s="3">
        <v>2.8000000000000001E-2</v>
      </c>
      <c r="F21" s="4">
        <v>0.67200000000000004</v>
      </c>
      <c r="G21" s="1"/>
      <c r="H21" s="5" t="s">
        <v>54</v>
      </c>
    </row>
    <row r="22" spans="1:8" x14ac:dyDescent="0.3">
      <c r="A22" s="1"/>
      <c r="B22" s="1"/>
      <c r="C22" s="1"/>
      <c r="D22" s="1"/>
      <c r="E22" s="1"/>
      <c r="F22" s="1"/>
      <c r="G22" s="1"/>
    </row>
    <row r="23" spans="1:8" x14ac:dyDescent="0.3">
      <c r="A23" s="1"/>
      <c r="B23" s="1"/>
      <c r="C23" s="1"/>
      <c r="D23" s="1"/>
      <c r="E23" s="1"/>
      <c r="F23" s="1"/>
      <c r="G23" s="1"/>
    </row>
    <row r="24" spans="1:8" x14ac:dyDescent="0.3">
      <c r="A24" s="1"/>
      <c r="B24" s="1"/>
      <c r="C24" s="1"/>
      <c r="D24" s="1"/>
      <c r="E24" s="1"/>
      <c r="F24" s="1"/>
      <c r="G24" s="1"/>
    </row>
    <row r="25" spans="1:8" x14ac:dyDescent="0.3">
      <c r="A25" s="1"/>
      <c r="B25" s="1"/>
      <c r="C25" s="1"/>
      <c r="D25" s="1"/>
      <c r="E25" s="1"/>
      <c r="F25" s="1"/>
      <c r="G25" s="1"/>
    </row>
    <row r="26" spans="1:8" x14ac:dyDescent="0.3">
      <c r="A26" s="1"/>
      <c r="B26" s="1"/>
      <c r="C26" s="1"/>
      <c r="D26" s="1"/>
      <c r="E26" s="1"/>
      <c r="F26" s="2" t="s">
        <v>44</v>
      </c>
      <c r="G26" s="1" t="s">
        <v>45</v>
      </c>
    </row>
    <row r="27" spans="1:8" x14ac:dyDescent="0.3">
      <c r="A27" s="1"/>
      <c r="B27" s="1"/>
      <c r="C27" s="1"/>
      <c r="D27" s="1"/>
      <c r="E27" s="1"/>
      <c r="F27" s="1">
        <f>SUM(F2:F25)</f>
        <v>22.212</v>
      </c>
      <c r="G27" s="1"/>
    </row>
    <row r="28" spans="1:8" x14ac:dyDescent="0.3">
      <c r="A28" s="1"/>
      <c r="B28" s="1"/>
      <c r="C28" s="1"/>
      <c r="D28" s="1"/>
      <c r="E28" s="1"/>
      <c r="F28" s="1"/>
      <c r="G28" s="1"/>
    </row>
    <row r="29" spans="1:8" x14ac:dyDescent="0.3">
      <c r="A29" s="1"/>
      <c r="B29" s="1"/>
      <c r="C29" s="1"/>
      <c r="D29" s="1"/>
      <c r="E29" s="1"/>
      <c r="F29" s="1"/>
      <c r="G29" s="1"/>
    </row>
    <row r="30" spans="1:8" x14ac:dyDescent="0.3">
      <c r="A30" s="1"/>
      <c r="B30" s="1"/>
      <c r="C30" s="1"/>
      <c r="D30" s="1"/>
      <c r="E30" s="1"/>
      <c r="F30" s="1"/>
      <c r="G30" s="1"/>
    </row>
    <row r="31" spans="1:8" x14ac:dyDescent="0.3">
      <c r="A31" s="1"/>
      <c r="B31" s="1"/>
      <c r="C31" s="1"/>
      <c r="D31" s="1"/>
      <c r="E31" s="1"/>
      <c r="F31" s="1"/>
      <c r="G31" s="1"/>
    </row>
    <row r="32" spans="1:8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</sheetData>
  <hyperlinks>
    <hyperlink ref="H20" r:id="rId1" xr:uid="{D445094D-A20E-4B42-88B4-66FD8846EFAD}"/>
    <hyperlink ref="H21" r:id="rId2" xr:uid="{E309A950-E82B-4C90-9E03-1249F88F065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Kuizenga (student)</dc:creator>
  <cp:lastModifiedBy>Jens Kuizenga (student)</cp:lastModifiedBy>
  <dcterms:created xsi:type="dcterms:W3CDTF">2024-11-18T17:47:37Z</dcterms:created>
  <dcterms:modified xsi:type="dcterms:W3CDTF">2025-01-17T19:24:01Z</dcterms:modified>
</cp:coreProperties>
</file>